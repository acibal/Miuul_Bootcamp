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ibal/Desktop/Miuul/DS_Bootcamp_13/W7_Machine_Learning/Case_Studies/"/>
    </mc:Choice>
  </mc:AlternateContent>
  <xr:revisionPtr revIDLastSave="0" documentId="13_ncr:1_{75F473DD-5996-9847-BC0B-846BC8952DB1}" xr6:coauthVersionLast="47" xr6:coauthVersionMax="47" xr10:uidLastSave="{00000000-0000-0000-0000-000000000000}"/>
  <bookViews>
    <workbookView xWindow="540" yWindow="740" windowWidth="28300" windowHeight="16700" xr2:uid="{79F1A590-81F9-F64A-B135-6D741270D5E1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1" l="1"/>
  <c r="I26" i="1"/>
  <c r="K25" i="1"/>
  <c r="K24" i="1"/>
  <c r="N25" i="1"/>
  <c r="N24" i="1"/>
  <c r="N23" i="1"/>
  <c r="N8" i="1"/>
  <c r="N7" i="1"/>
  <c r="N6" i="1"/>
  <c r="N5" i="1"/>
  <c r="N26" i="1" l="1"/>
</calcChain>
</file>

<file path=xl/sharedStrings.xml><?xml version="1.0" encoding="utf-8"?>
<sst xmlns="http://schemas.openxmlformats.org/spreadsheetml/2006/main" count="36" uniqueCount="17">
  <si>
    <t>Gerçek Değer</t>
  </si>
  <si>
    <t>Model Olasılık Tahmini (1 sınıfına ait olma olasılığı)</t>
  </si>
  <si>
    <t>Churn (1)</t>
  </si>
  <si>
    <t>Non-Churn (0)</t>
  </si>
  <si>
    <t>Model Tahmini</t>
  </si>
  <si>
    <t>Accuracy</t>
  </si>
  <si>
    <t>Recall</t>
  </si>
  <si>
    <t>F1 Score</t>
  </si>
  <si>
    <t>Precision</t>
  </si>
  <si>
    <t>ok</t>
  </si>
  <si>
    <t>er</t>
  </si>
  <si>
    <t>Tahmin</t>
  </si>
  <si>
    <t>Soru 2:</t>
  </si>
  <si>
    <t>Soru 1:</t>
  </si>
  <si>
    <t>Fraud (1)</t>
  </si>
  <si>
    <t>Non-Fraud (0)</t>
  </si>
  <si>
    <t>990-10 değerleri dengesiz ekip sadece accuracy değerine bakıp bu durumu göz ardı etmiş.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</si>
</sst>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D3CCF-8C96-5748-85D2-B707A04BE668}">
  <dimension ref="A1:P26"/>
  <sheetViews>
    <sheetView tabSelected="1" zoomScale="75" workbookViewId="0">
      <selection activeCell="P23" sqref="P23"/>
    </sheetView>
  </sheetViews>
  <sheetFormatPr baseColWidth="10" defaultRowHeight="16" x14ac:dyDescent="0.2"/>
  <cols>
    <col min="2" max="2" width="3.6640625" bestFit="1" customWidth="1"/>
    <col min="3" max="3" width="26.83203125" customWidth="1"/>
    <col min="4" max="4" width="43.1640625" bestFit="1" customWidth="1"/>
    <col min="7" max="7" width="16.6640625" customWidth="1"/>
    <col min="8" max="10" width="14.6640625" customWidth="1"/>
    <col min="14" max="14" width="10.83203125" style="20"/>
    <col min="16" max="16" width="76.83203125" bestFit="1" customWidth="1"/>
  </cols>
  <sheetData>
    <row r="1" spans="1:14" x14ac:dyDescent="0.2">
      <c r="A1" t="s">
        <v>13</v>
      </c>
    </row>
    <row r="2" spans="1:14" x14ac:dyDescent="0.2">
      <c r="B2" s="2"/>
      <c r="C2" s="3" t="s">
        <v>0</v>
      </c>
      <c r="D2" s="3" t="s">
        <v>1</v>
      </c>
      <c r="E2" s="1" t="s">
        <v>11</v>
      </c>
      <c r="F2" s="6"/>
    </row>
    <row r="3" spans="1:14" x14ac:dyDescent="0.2">
      <c r="B3" s="4">
        <v>1</v>
      </c>
      <c r="C3" s="4">
        <v>1</v>
      </c>
      <c r="D3" s="4">
        <v>0.7</v>
      </c>
      <c r="E3" s="5">
        <v>1</v>
      </c>
      <c r="F3" s="6" t="s">
        <v>9</v>
      </c>
    </row>
    <row r="4" spans="1:14" ht="17" thickBot="1" x14ac:dyDescent="0.25">
      <c r="B4" s="4">
        <v>2</v>
      </c>
      <c r="C4" s="4">
        <v>1</v>
      </c>
      <c r="D4" s="4">
        <v>0.8</v>
      </c>
      <c r="E4" s="5">
        <v>1</v>
      </c>
      <c r="F4" s="6" t="s">
        <v>9</v>
      </c>
      <c r="I4" s="7" t="s">
        <v>4</v>
      </c>
      <c r="J4" s="7"/>
    </row>
    <row r="5" spans="1:14" ht="17" thickBot="1" x14ac:dyDescent="0.25">
      <c r="B5" s="4">
        <v>3</v>
      </c>
      <c r="C5" s="4">
        <v>1</v>
      </c>
      <c r="D5" s="4">
        <v>0.65</v>
      </c>
      <c r="E5" s="5">
        <v>1</v>
      </c>
      <c r="F5" s="6" t="s">
        <v>9</v>
      </c>
      <c r="I5" s="16" t="s">
        <v>2</v>
      </c>
      <c r="J5" s="17" t="s">
        <v>3</v>
      </c>
      <c r="M5" t="s">
        <v>5</v>
      </c>
      <c r="N5" s="20">
        <f>(I6+J7)/(I6+J6+I7+J7)</f>
        <v>0.8</v>
      </c>
    </row>
    <row r="6" spans="1:14" x14ac:dyDescent="0.2">
      <c r="B6" s="4">
        <v>4</v>
      </c>
      <c r="C6" s="4">
        <v>1</v>
      </c>
      <c r="D6" s="4">
        <v>0.9</v>
      </c>
      <c r="E6" s="5">
        <v>1</v>
      </c>
      <c r="F6" s="9" t="s">
        <v>9</v>
      </c>
      <c r="G6" s="8" t="s">
        <v>0</v>
      </c>
      <c r="H6" s="18" t="s">
        <v>2</v>
      </c>
      <c r="I6" s="12">
        <v>5</v>
      </c>
      <c r="J6" s="13">
        <v>1</v>
      </c>
      <c r="K6" s="10">
        <v>6</v>
      </c>
      <c r="M6" t="s">
        <v>8</v>
      </c>
      <c r="N6" s="20">
        <f>I6/(I6+I7)</f>
        <v>0.83333333333333337</v>
      </c>
    </row>
    <row r="7" spans="1:14" ht="17" thickBot="1" x14ac:dyDescent="0.25">
      <c r="B7" s="4">
        <v>5</v>
      </c>
      <c r="C7" s="4">
        <v>1</v>
      </c>
      <c r="D7" s="4">
        <v>0.45</v>
      </c>
      <c r="E7" s="5">
        <v>0</v>
      </c>
      <c r="F7" s="9" t="s">
        <v>10</v>
      </c>
      <c r="G7" s="8"/>
      <c r="H7" s="19" t="s">
        <v>3</v>
      </c>
      <c r="I7" s="14">
        <v>1</v>
      </c>
      <c r="J7" s="15">
        <v>3</v>
      </c>
      <c r="K7" s="10">
        <v>4</v>
      </c>
      <c r="M7" t="s">
        <v>6</v>
      </c>
      <c r="N7" s="20">
        <f>I6/(I6+J6)</f>
        <v>0.83333333333333337</v>
      </c>
    </row>
    <row r="8" spans="1:14" x14ac:dyDescent="0.2">
      <c r="B8" s="4">
        <v>6</v>
      </c>
      <c r="C8" s="4">
        <v>1</v>
      </c>
      <c r="D8" s="4">
        <v>0.5</v>
      </c>
      <c r="E8" s="5">
        <v>1</v>
      </c>
      <c r="F8" s="9" t="s">
        <v>9</v>
      </c>
      <c r="I8" s="11">
        <v>6</v>
      </c>
      <c r="J8" s="11">
        <v>4</v>
      </c>
      <c r="M8" t="s">
        <v>7</v>
      </c>
      <c r="N8" s="20">
        <f>(2*N6*N7)/(N6+N7)</f>
        <v>0.83333333333333337</v>
      </c>
    </row>
    <row r="9" spans="1:14" x14ac:dyDescent="0.2">
      <c r="B9" s="4">
        <v>7</v>
      </c>
      <c r="C9" s="4">
        <v>0</v>
      </c>
      <c r="D9" s="4">
        <v>0.55000000000000004</v>
      </c>
      <c r="E9" s="5">
        <v>1</v>
      </c>
      <c r="F9" s="9" t="s">
        <v>10</v>
      </c>
    </row>
    <row r="10" spans="1:14" x14ac:dyDescent="0.2">
      <c r="B10" s="4">
        <v>8</v>
      </c>
      <c r="C10" s="4">
        <v>0</v>
      </c>
      <c r="D10" s="4">
        <v>0.35</v>
      </c>
      <c r="E10" s="5">
        <v>0</v>
      </c>
      <c r="F10" s="9" t="s">
        <v>9</v>
      </c>
    </row>
    <row r="11" spans="1:14" x14ac:dyDescent="0.2">
      <c r="B11" s="4">
        <v>9</v>
      </c>
      <c r="C11" s="4">
        <v>0</v>
      </c>
      <c r="D11" s="4">
        <v>0.4</v>
      </c>
      <c r="E11" s="5">
        <v>0</v>
      </c>
      <c r="F11" s="9" t="s">
        <v>9</v>
      </c>
    </row>
    <row r="12" spans="1:14" x14ac:dyDescent="0.2">
      <c r="B12" s="4">
        <v>10</v>
      </c>
      <c r="C12" s="4">
        <v>0</v>
      </c>
      <c r="D12" s="4">
        <v>0.25</v>
      </c>
      <c r="E12" s="5">
        <v>0</v>
      </c>
      <c r="F12" s="9" t="s">
        <v>9</v>
      </c>
    </row>
    <row r="20" spans="1:16" x14ac:dyDescent="0.2">
      <c r="A20" t="s">
        <v>12</v>
      </c>
    </row>
    <row r="22" spans="1:16" ht="17" thickBot="1" x14ac:dyDescent="0.25">
      <c r="I22" s="7" t="s">
        <v>4</v>
      </c>
      <c r="J22" s="7"/>
    </row>
    <row r="23" spans="1:16" ht="17" thickBot="1" x14ac:dyDescent="0.25">
      <c r="I23" s="16" t="s">
        <v>14</v>
      </c>
      <c r="J23" s="17" t="s">
        <v>15</v>
      </c>
      <c r="M23" t="s">
        <v>5</v>
      </c>
      <c r="N23" s="20">
        <f>(I24+J25)/(I24+J24+I25+J25)</f>
        <v>0.90500000000000003</v>
      </c>
      <c r="P23" t="s">
        <v>16</v>
      </c>
    </row>
    <row r="24" spans="1:16" x14ac:dyDescent="0.2">
      <c r="G24" s="8" t="s">
        <v>0</v>
      </c>
      <c r="H24" s="18" t="s">
        <v>14</v>
      </c>
      <c r="I24" s="12">
        <v>5</v>
      </c>
      <c r="J24" s="13">
        <v>5</v>
      </c>
      <c r="K24" s="10">
        <f>SUM(I24:J24)</f>
        <v>10</v>
      </c>
      <c r="M24" t="s">
        <v>8</v>
      </c>
      <c r="N24" s="20">
        <f>I24/(I24+I25)</f>
        <v>5.2631578947368418E-2</v>
      </c>
    </row>
    <row r="25" spans="1:16" ht="17" thickBot="1" x14ac:dyDescent="0.25">
      <c r="G25" s="8"/>
      <c r="H25" s="19" t="s">
        <v>15</v>
      </c>
      <c r="I25" s="14">
        <v>90</v>
      </c>
      <c r="J25" s="15">
        <v>900</v>
      </c>
      <c r="K25" s="10">
        <f>SUM(I25:J25)</f>
        <v>990</v>
      </c>
      <c r="M25" t="s">
        <v>6</v>
      </c>
      <c r="N25" s="20">
        <f>I24/(I24+J24)</f>
        <v>0.5</v>
      </c>
    </row>
    <row r="26" spans="1:16" x14ac:dyDescent="0.2">
      <c r="I26" s="11">
        <f>SUM(I24:I25)</f>
        <v>95</v>
      </c>
      <c r="J26" s="11">
        <f>SUM(J24:J25)</f>
        <v>905</v>
      </c>
      <c r="M26" t="s">
        <v>7</v>
      </c>
      <c r="N26" s="20">
        <f>(2*N24*N25)/(N24+N25)</f>
        <v>9.5238095238095247E-2</v>
      </c>
    </row>
  </sheetData>
  <mergeCells count="4">
    <mergeCell ref="G6:G7"/>
    <mergeCell ref="I4:J4"/>
    <mergeCell ref="I22:J22"/>
    <mergeCell ref="G24:G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3977jet</dc:creator>
  <cp:lastModifiedBy>3977jet</cp:lastModifiedBy>
  <dcterms:created xsi:type="dcterms:W3CDTF">2023-11-19T11:35:04Z</dcterms:created>
  <dcterms:modified xsi:type="dcterms:W3CDTF">2023-11-19T12:19:55Z</dcterms:modified>
</cp:coreProperties>
</file>