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ibal/Desktop/Miuul/DS_Bootcamp_13/W7_Machine_Learning/Case_Studies/"/>
    </mc:Choice>
  </mc:AlternateContent>
  <xr:revisionPtr revIDLastSave="0" documentId="13_ncr:1_{E7F7A2B7-2F5B-0F49-98FE-A97187EB8F5F}" xr6:coauthVersionLast="47" xr6:coauthVersionMax="47" xr10:uidLastSave="{00000000-0000-0000-0000-000000000000}"/>
  <bookViews>
    <workbookView xWindow="0" yWindow="720" windowWidth="29400" windowHeight="18400" xr2:uid="{EE43BF92-CE4C-6E4D-9A7D-1A2D3564404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J24" i="1" s="1"/>
  <c r="K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4" i="1"/>
</calcChain>
</file>

<file path=xl/sharedStrings.xml><?xml version="1.0" encoding="utf-8"?>
<sst xmlns="http://schemas.openxmlformats.org/spreadsheetml/2006/main" count="14" uniqueCount="12">
  <si>
    <t>Deneyim Yılı (x)</t>
  </si>
  <si>
    <t>Maaş (y)</t>
  </si>
  <si>
    <t>Bias</t>
  </si>
  <si>
    <t>Weight</t>
  </si>
  <si>
    <t>Maaş Tahmini (y')</t>
  </si>
  <si>
    <t>Hata (y-y')</t>
  </si>
  <si>
    <t>Hata Kareleri</t>
  </si>
  <si>
    <t>Mutlak Hata (|y-y'|)</t>
  </si>
  <si>
    <t>275 + 90 * x</t>
  </si>
  <si>
    <t>MSE</t>
  </si>
  <si>
    <t>RMSE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</si>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</sst>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D2A0E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A0ED"/>
      <color rgb="FFD58EFF"/>
      <color rgb="FFD18CFF"/>
      <color rgb="FFC481F3"/>
      <color rgb="FFA56E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587C-AEBA-8F4C-8547-E7D04E96D642}">
  <dimension ref="B2:K38"/>
  <sheetViews>
    <sheetView tabSelected="1" workbookViewId="0">
      <selection activeCell="K30" sqref="K30"/>
    </sheetView>
  </sheetViews>
  <sheetFormatPr baseColWidth="10" defaultRowHeight="16" x14ac:dyDescent="0.2"/>
  <cols>
    <col min="2" max="3" width="15" customWidth="1"/>
    <col min="4" max="4" width="15.6640625" style="1" bestFit="1" customWidth="1"/>
    <col min="5" max="6" width="16.33203125" style="1" customWidth="1"/>
    <col min="7" max="7" width="17.83203125" style="1" customWidth="1"/>
  </cols>
  <sheetData>
    <row r="2" spans="2:3" x14ac:dyDescent="0.2">
      <c r="B2" s="2" t="s">
        <v>0</v>
      </c>
      <c r="C2" s="2" t="s">
        <v>1</v>
      </c>
    </row>
    <row r="3" spans="2:3" x14ac:dyDescent="0.2">
      <c r="B3" s="6">
        <v>5</v>
      </c>
      <c r="C3" s="7">
        <v>600</v>
      </c>
    </row>
    <row r="4" spans="2:3" x14ac:dyDescent="0.2">
      <c r="B4" s="6">
        <v>7</v>
      </c>
      <c r="C4" s="7">
        <v>900</v>
      </c>
    </row>
    <row r="5" spans="2:3" x14ac:dyDescent="0.2">
      <c r="B5" s="6">
        <v>3</v>
      </c>
      <c r="C5" s="7">
        <v>550</v>
      </c>
    </row>
    <row r="6" spans="2:3" x14ac:dyDescent="0.2">
      <c r="B6" s="6">
        <v>3</v>
      </c>
      <c r="C6" s="7">
        <v>500</v>
      </c>
    </row>
    <row r="7" spans="2:3" x14ac:dyDescent="0.2">
      <c r="B7" s="6">
        <v>2</v>
      </c>
      <c r="C7" s="7">
        <v>400</v>
      </c>
    </row>
    <row r="8" spans="2:3" x14ac:dyDescent="0.2">
      <c r="B8" s="6">
        <v>7</v>
      </c>
      <c r="C8" s="7">
        <v>950</v>
      </c>
    </row>
    <row r="9" spans="2:3" x14ac:dyDescent="0.2">
      <c r="B9" s="6">
        <v>3</v>
      </c>
      <c r="C9" s="7">
        <v>540</v>
      </c>
    </row>
    <row r="10" spans="2:3" x14ac:dyDescent="0.2">
      <c r="B10" s="6">
        <v>10</v>
      </c>
      <c r="C10" s="7">
        <v>1200</v>
      </c>
    </row>
    <row r="11" spans="2:3" x14ac:dyDescent="0.2">
      <c r="B11" s="6">
        <v>6</v>
      </c>
      <c r="C11" s="7">
        <v>900</v>
      </c>
    </row>
    <row r="12" spans="2:3" x14ac:dyDescent="0.2">
      <c r="B12" s="6">
        <v>4</v>
      </c>
      <c r="C12" s="7">
        <v>550</v>
      </c>
    </row>
    <row r="13" spans="2:3" x14ac:dyDescent="0.2">
      <c r="B13" s="6">
        <v>8</v>
      </c>
      <c r="C13" s="7">
        <v>1100</v>
      </c>
    </row>
    <row r="14" spans="2:3" x14ac:dyDescent="0.2">
      <c r="B14" s="6">
        <v>1</v>
      </c>
      <c r="C14" s="7">
        <v>460</v>
      </c>
    </row>
    <row r="15" spans="2:3" x14ac:dyDescent="0.2">
      <c r="B15" s="6">
        <v>1</v>
      </c>
      <c r="C15" s="7">
        <v>400</v>
      </c>
    </row>
    <row r="16" spans="2:3" x14ac:dyDescent="0.2">
      <c r="B16" s="6">
        <v>9</v>
      </c>
      <c r="C16" s="7">
        <v>1000</v>
      </c>
    </row>
    <row r="17" spans="2:11" x14ac:dyDescent="0.2">
      <c r="B17" s="8">
        <v>1</v>
      </c>
      <c r="C17" s="10">
        <v>380</v>
      </c>
    </row>
    <row r="19" spans="2:11" x14ac:dyDescent="0.2">
      <c r="B19" t="s">
        <v>2</v>
      </c>
      <c r="C19" s="3">
        <v>275</v>
      </c>
    </row>
    <row r="20" spans="2:11" x14ac:dyDescent="0.2">
      <c r="B20" t="s">
        <v>3</v>
      </c>
      <c r="C20" s="3">
        <v>90</v>
      </c>
    </row>
    <row r="21" spans="2:11" x14ac:dyDescent="0.2">
      <c r="C21" s="1" t="s">
        <v>8</v>
      </c>
    </row>
    <row r="23" spans="2:11" x14ac:dyDescent="0.2">
      <c r="B23" s="2" t="s">
        <v>0</v>
      </c>
      <c r="C23" s="2" t="s">
        <v>1</v>
      </c>
      <c r="D23" s="4" t="s">
        <v>4</v>
      </c>
      <c r="E23" s="4" t="s">
        <v>5</v>
      </c>
      <c r="F23" s="4" t="s">
        <v>6</v>
      </c>
      <c r="G23" s="4" t="s">
        <v>7</v>
      </c>
      <c r="I23" s="4" t="s">
        <v>9</v>
      </c>
      <c r="J23" s="4" t="s">
        <v>10</v>
      </c>
      <c r="K23" s="4" t="s">
        <v>11</v>
      </c>
    </row>
    <row r="24" spans="2:11" x14ac:dyDescent="0.2">
      <c r="B24" s="6">
        <v>5</v>
      </c>
      <c r="C24" s="5">
        <v>600</v>
      </c>
      <c r="D24" s="5">
        <f>C$19+(C$20*B24)</f>
        <v>725</v>
      </c>
      <c r="E24" s="5">
        <f>(C24-D24)</f>
        <v>-125</v>
      </c>
      <c r="F24" s="5">
        <f>E24*E24</f>
        <v>15625</v>
      </c>
      <c r="G24" s="7">
        <f>ABS(E24)</f>
        <v>125</v>
      </c>
      <c r="I24" s="11">
        <f>AVERAGE(F24:F38)</f>
        <v>4438.333333333333</v>
      </c>
      <c r="J24" s="11">
        <f>SQRT(I24)</f>
        <v>66.620817567283979</v>
      </c>
      <c r="K24" s="11">
        <f>AVERAGE(G24:G38)</f>
        <v>54.333333333333336</v>
      </c>
    </row>
    <row r="25" spans="2:11" x14ac:dyDescent="0.2">
      <c r="B25" s="6">
        <v>7</v>
      </c>
      <c r="C25" s="5">
        <v>900</v>
      </c>
      <c r="D25" s="5">
        <f t="shared" ref="D25:D38" si="0">C$19+(C$20*B25)</f>
        <v>905</v>
      </c>
      <c r="E25" s="5">
        <f t="shared" ref="E25:E38" si="1">(C25-D25)</f>
        <v>-5</v>
      </c>
      <c r="F25" s="5">
        <f t="shared" ref="F25:F38" si="2">E25*E25</f>
        <v>25</v>
      </c>
      <c r="G25" s="7">
        <f t="shared" ref="G25:G38" si="3">ABS(E25)</f>
        <v>5</v>
      </c>
    </row>
    <row r="26" spans="2:11" x14ac:dyDescent="0.2">
      <c r="B26" s="6">
        <v>3</v>
      </c>
      <c r="C26" s="5">
        <v>550</v>
      </c>
      <c r="D26" s="5">
        <f t="shared" si="0"/>
        <v>545</v>
      </c>
      <c r="E26" s="5">
        <f t="shared" si="1"/>
        <v>5</v>
      </c>
      <c r="F26" s="5">
        <f t="shared" si="2"/>
        <v>25</v>
      </c>
      <c r="G26" s="7">
        <f t="shared" si="3"/>
        <v>5</v>
      </c>
    </row>
    <row r="27" spans="2:11" x14ac:dyDescent="0.2">
      <c r="B27" s="6">
        <v>3</v>
      </c>
      <c r="C27" s="5">
        <v>500</v>
      </c>
      <c r="D27" s="5">
        <f t="shared" si="0"/>
        <v>545</v>
      </c>
      <c r="E27" s="5">
        <f t="shared" si="1"/>
        <v>-45</v>
      </c>
      <c r="F27" s="5">
        <f t="shared" si="2"/>
        <v>2025</v>
      </c>
      <c r="G27" s="7">
        <f t="shared" si="3"/>
        <v>45</v>
      </c>
    </row>
    <row r="28" spans="2:11" x14ac:dyDescent="0.2">
      <c r="B28" s="6">
        <v>2</v>
      </c>
      <c r="C28" s="5">
        <v>400</v>
      </c>
      <c r="D28" s="5">
        <f t="shared" si="0"/>
        <v>455</v>
      </c>
      <c r="E28" s="5">
        <f t="shared" si="1"/>
        <v>-55</v>
      </c>
      <c r="F28" s="5">
        <f t="shared" si="2"/>
        <v>3025</v>
      </c>
      <c r="G28" s="7">
        <f t="shared" si="3"/>
        <v>55</v>
      </c>
    </row>
    <row r="29" spans="2:11" x14ac:dyDescent="0.2">
      <c r="B29" s="6">
        <v>7</v>
      </c>
      <c r="C29" s="5">
        <v>950</v>
      </c>
      <c r="D29" s="5">
        <f t="shared" si="0"/>
        <v>905</v>
      </c>
      <c r="E29" s="5">
        <f t="shared" si="1"/>
        <v>45</v>
      </c>
      <c r="F29" s="5">
        <f t="shared" si="2"/>
        <v>2025</v>
      </c>
      <c r="G29" s="7">
        <f t="shared" si="3"/>
        <v>45</v>
      </c>
    </row>
    <row r="30" spans="2:11" x14ac:dyDescent="0.2">
      <c r="B30" s="6">
        <v>3</v>
      </c>
      <c r="C30" s="5">
        <v>540</v>
      </c>
      <c r="D30" s="5">
        <f t="shared" si="0"/>
        <v>545</v>
      </c>
      <c r="E30" s="5">
        <f t="shared" si="1"/>
        <v>-5</v>
      </c>
      <c r="F30" s="5">
        <f t="shared" si="2"/>
        <v>25</v>
      </c>
      <c r="G30" s="7">
        <f t="shared" si="3"/>
        <v>5</v>
      </c>
    </row>
    <row r="31" spans="2:11" x14ac:dyDescent="0.2">
      <c r="B31" s="6">
        <v>10</v>
      </c>
      <c r="C31" s="5">
        <v>1200</v>
      </c>
      <c r="D31" s="5">
        <f t="shared" si="0"/>
        <v>1175</v>
      </c>
      <c r="E31" s="5">
        <f t="shared" si="1"/>
        <v>25</v>
      </c>
      <c r="F31" s="5">
        <f t="shared" si="2"/>
        <v>625</v>
      </c>
      <c r="G31" s="7">
        <f t="shared" si="3"/>
        <v>25</v>
      </c>
    </row>
    <row r="32" spans="2:11" x14ac:dyDescent="0.2">
      <c r="B32" s="6">
        <v>6</v>
      </c>
      <c r="C32" s="5">
        <v>900</v>
      </c>
      <c r="D32" s="5">
        <f t="shared" si="0"/>
        <v>815</v>
      </c>
      <c r="E32" s="5">
        <f t="shared" si="1"/>
        <v>85</v>
      </c>
      <c r="F32" s="5">
        <f t="shared" si="2"/>
        <v>7225</v>
      </c>
      <c r="G32" s="7">
        <f t="shared" si="3"/>
        <v>85</v>
      </c>
    </row>
    <row r="33" spans="2:7" x14ac:dyDescent="0.2">
      <c r="B33" s="6">
        <v>4</v>
      </c>
      <c r="C33" s="5">
        <v>550</v>
      </c>
      <c r="D33" s="5">
        <f t="shared" si="0"/>
        <v>635</v>
      </c>
      <c r="E33" s="5">
        <f t="shared" si="1"/>
        <v>-85</v>
      </c>
      <c r="F33" s="5">
        <f t="shared" si="2"/>
        <v>7225</v>
      </c>
      <c r="G33" s="7">
        <f t="shared" si="3"/>
        <v>85</v>
      </c>
    </row>
    <row r="34" spans="2:7" x14ac:dyDescent="0.2">
      <c r="B34" s="6">
        <v>8</v>
      </c>
      <c r="C34" s="5">
        <v>1100</v>
      </c>
      <c r="D34" s="5">
        <f t="shared" si="0"/>
        <v>995</v>
      </c>
      <c r="E34" s="5">
        <f t="shared" si="1"/>
        <v>105</v>
      </c>
      <c r="F34" s="5">
        <f t="shared" si="2"/>
        <v>11025</v>
      </c>
      <c r="G34" s="7">
        <f t="shared" si="3"/>
        <v>105</v>
      </c>
    </row>
    <row r="35" spans="2:7" x14ac:dyDescent="0.2">
      <c r="B35" s="6">
        <v>1</v>
      </c>
      <c r="C35" s="5">
        <v>460</v>
      </c>
      <c r="D35" s="5">
        <f t="shared" si="0"/>
        <v>365</v>
      </c>
      <c r="E35" s="5">
        <f t="shared" si="1"/>
        <v>95</v>
      </c>
      <c r="F35" s="5">
        <f t="shared" si="2"/>
        <v>9025</v>
      </c>
      <c r="G35" s="7">
        <f t="shared" si="3"/>
        <v>95</v>
      </c>
    </row>
    <row r="36" spans="2:7" x14ac:dyDescent="0.2">
      <c r="B36" s="6">
        <v>1</v>
      </c>
      <c r="C36" s="5">
        <v>400</v>
      </c>
      <c r="D36" s="5">
        <f t="shared" si="0"/>
        <v>365</v>
      </c>
      <c r="E36" s="5">
        <f t="shared" si="1"/>
        <v>35</v>
      </c>
      <c r="F36" s="5">
        <f t="shared" si="2"/>
        <v>1225</v>
      </c>
      <c r="G36" s="7">
        <f t="shared" si="3"/>
        <v>35</v>
      </c>
    </row>
    <row r="37" spans="2:7" x14ac:dyDescent="0.2">
      <c r="B37" s="6">
        <v>9</v>
      </c>
      <c r="C37" s="5">
        <v>1000</v>
      </c>
      <c r="D37" s="5">
        <f t="shared" si="0"/>
        <v>1085</v>
      </c>
      <c r="E37" s="5">
        <f t="shared" si="1"/>
        <v>-85</v>
      </c>
      <c r="F37" s="5">
        <f t="shared" si="2"/>
        <v>7225</v>
      </c>
      <c r="G37" s="7">
        <f t="shared" si="3"/>
        <v>85</v>
      </c>
    </row>
    <row r="38" spans="2:7" x14ac:dyDescent="0.2">
      <c r="B38" s="8">
        <v>1</v>
      </c>
      <c r="C38" s="9">
        <v>380</v>
      </c>
      <c r="D38" s="9">
        <f t="shared" si="0"/>
        <v>365</v>
      </c>
      <c r="E38" s="9">
        <f t="shared" si="1"/>
        <v>15</v>
      </c>
      <c r="F38" s="9">
        <f t="shared" si="2"/>
        <v>225</v>
      </c>
      <c r="G38" s="10">
        <f t="shared" si="3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3977jet</dc:creator>
  <cp:lastModifiedBy>3977jet</cp:lastModifiedBy>
  <dcterms:created xsi:type="dcterms:W3CDTF">2023-11-19T10:36:59Z</dcterms:created>
  <dcterms:modified xsi:type="dcterms:W3CDTF">2023-11-19T11:07:44Z</dcterms:modified>
</cp:coreProperties>
</file>