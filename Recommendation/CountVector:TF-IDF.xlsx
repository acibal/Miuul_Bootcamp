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ibal/DataScience/Miuul/DS_Bootcamp_13/recommendation/"/>
    </mc:Choice>
  </mc:AlternateContent>
  <xr:revisionPtr revIDLastSave="0" documentId="13_ncr:1_{FFFCA075-425B-3F4B-9F20-3707502D7E77}" xr6:coauthVersionLast="47" xr6:coauthVersionMax="47" xr10:uidLastSave="{00000000-0000-0000-0000-000000000000}"/>
  <bookViews>
    <workbookView xWindow="0" yWindow="840" windowWidth="34200" windowHeight="21400" xr2:uid="{16265390-A0B5-DE4F-BBC8-F2E322D66E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B37" i="1"/>
  <c r="B41" i="1" s="1"/>
  <c r="C37" i="1"/>
  <c r="C41" i="1" s="1"/>
  <c r="D37" i="1"/>
  <c r="D41" i="1" s="1"/>
  <c r="E37" i="1"/>
  <c r="E41" i="1" s="1"/>
  <c r="G37" i="1"/>
  <c r="G41" i="1" s="1"/>
  <c r="H37" i="1"/>
  <c r="H41" i="1" s="1"/>
  <c r="H47" i="1" s="1"/>
  <c r="I37" i="1"/>
  <c r="I41" i="1" s="1"/>
  <c r="J37" i="1"/>
  <c r="J41" i="1" s="1"/>
  <c r="L27" i="1"/>
  <c r="C27" i="1" s="1"/>
  <c r="C48" i="1" s="1"/>
  <c r="L28" i="1"/>
  <c r="C28" i="1" s="1"/>
  <c r="C49" i="1" s="1"/>
  <c r="L29" i="1"/>
  <c r="C29" i="1" s="1"/>
  <c r="C50" i="1" s="1"/>
  <c r="L26" i="1"/>
  <c r="H26" i="1" s="1"/>
  <c r="J29" i="1" l="1"/>
  <c r="J50" i="1" s="1"/>
  <c r="J28" i="1"/>
  <c r="J49" i="1" s="1"/>
  <c r="J27" i="1"/>
  <c r="J48" i="1" s="1"/>
  <c r="I27" i="1"/>
  <c r="I48" i="1" s="1"/>
  <c r="I28" i="1"/>
  <c r="I49" i="1" s="1"/>
  <c r="H27" i="1"/>
  <c r="H48" i="1" s="1"/>
  <c r="G26" i="1"/>
  <c r="G47" i="1" s="1"/>
  <c r="F26" i="1"/>
  <c r="F47" i="1" s="1"/>
  <c r="I29" i="1"/>
  <c r="I50" i="1" s="1"/>
  <c r="E26" i="1"/>
  <c r="E47" i="1" s="1"/>
  <c r="H29" i="1"/>
  <c r="H50" i="1" s="1"/>
  <c r="H28" i="1"/>
  <c r="H49" i="1" s="1"/>
  <c r="D26" i="1"/>
  <c r="D47" i="1" s="1"/>
  <c r="G29" i="1"/>
  <c r="G50" i="1" s="1"/>
  <c r="G28" i="1"/>
  <c r="G49" i="1" s="1"/>
  <c r="G27" i="1"/>
  <c r="G48" i="1" s="1"/>
  <c r="B26" i="1"/>
  <c r="B47" i="1" s="1"/>
  <c r="C26" i="1"/>
  <c r="C47" i="1" s="1"/>
  <c r="F29" i="1"/>
  <c r="F50" i="1" s="1"/>
  <c r="F28" i="1"/>
  <c r="F49" i="1" s="1"/>
  <c r="F27" i="1"/>
  <c r="F48" i="1" s="1"/>
  <c r="J26" i="1"/>
  <c r="J47" i="1" s="1"/>
  <c r="B27" i="1"/>
  <c r="B48" i="1" s="1"/>
  <c r="E29" i="1"/>
  <c r="E50" i="1" s="1"/>
  <c r="E28" i="1"/>
  <c r="E49" i="1" s="1"/>
  <c r="E27" i="1"/>
  <c r="E48" i="1" s="1"/>
  <c r="I26" i="1"/>
  <c r="I47" i="1" s="1"/>
  <c r="B28" i="1"/>
  <c r="B49" i="1" s="1"/>
  <c r="D29" i="1"/>
  <c r="D50" i="1" s="1"/>
  <c r="D28" i="1"/>
  <c r="D49" i="1" s="1"/>
  <c r="D27" i="1"/>
  <c r="D48" i="1" s="1"/>
  <c r="B29" i="1"/>
  <c r="B50" i="1" s="1"/>
  <c r="L58" i="1" l="1"/>
  <c r="C58" i="1" s="1"/>
  <c r="F58" i="1"/>
  <c r="H58" i="1"/>
  <c r="E56" i="1"/>
  <c r="G58" i="1"/>
  <c r="G56" i="1"/>
  <c r="I56" i="1"/>
  <c r="J58" i="1"/>
  <c r="L56" i="1"/>
  <c r="H56" i="1" s="1"/>
  <c r="L57" i="1"/>
  <c r="C57" i="1" s="1"/>
  <c r="D58" i="1"/>
  <c r="J56" i="1"/>
  <c r="G59" i="1"/>
  <c r="H57" i="1"/>
  <c r="E58" i="1"/>
  <c r="L59" i="1"/>
  <c r="H59" i="1" s="1"/>
  <c r="F56" i="1"/>
  <c r="D59" i="1"/>
  <c r="I58" i="1"/>
  <c r="D57" i="1" l="1"/>
  <c r="E57" i="1"/>
  <c r="B56" i="1"/>
  <c r="J59" i="1"/>
  <c r="C59" i="1"/>
  <c r="B57" i="1"/>
  <c r="D56" i="1"/>
  <c r="C56" i="1"/>
  <c r="G57" i="1"/>
  <c r="E59" i="1"/>
  <c r="B58" i="1"/>
  <c r="F59" i="1"/>
  <c r="I57" i="1"/>
  <c r="B59" i="1"/>
  <c r="F57" i="1"/>
  <c r="J57" i="1"/>
  <c r="I59" i="1"/>
</calcChain>
</file>

<file path=xl/sharedStrings.xml><?xml version="1.0" encoding="utf-8"?>
<sst xmlns="http://schemas.openxmlformats.org/spreadsheetml/2006/main" count="97" uniqueCount="27">
  <si>
    <t>COUNT VECTORIZER</t>
  </si>
  <si>
    <t>This is the first document</t>
  </si>
  <si>
    <t>This document is the second document</t>
  </si>
  <si>
    <t>And this is the third one</t>
  </si>
  <si>
    <t>is this the first document</t>
  </si>
  <si>
    <t>this</t>
  </si>
  <si>
    <t>is</t>
  </si>
  <si>
    <t>the</t>
  </si>
  <si>
    <t>first</t>
  </si>
  <si>
    <t>document</t>
  </si>
  <si>
    <t>second</t>
  </si>
  <si>
    <t>and</t>
  </si>
  <si>
    <t>third</t>
  </si>
  <si>
    <t>one</t>
  </si>
  <si>
    <t>Dökümandaki Toplam Terim Sayısı</t>
  </si>
  <si>
    <t>Adım 1: Eşsiz tüm terimleri sütunlara, bütün dokümanları satırlara yerleştir.</t>
  </si>
  <si>
    <t>Adım 2: Terimlerin dokümanlarda geçme frekanslarını hücrelere yerleştir.</t>
  </si>
  <si>
    <t>Adım 3: TF - Term Frequency'yi hesapla (t teriminin ilgili dökümandaki frekansı / dokümandaki toplam terim sayısı</t>
  </si>
  <si>
    <t>Adım 4: IDF - Inverse Document Frequency'yi hesapla (1 +  Loge((toplam doküman sayısı + 1) / (içinde t terimi olan doküman sayısı + 1)</t>
  </si>
  <si>
    <t>Toplam doküman sayısı :</t>
  </si>
  <si>
    <t>içinde t terimi olan doküman sayısı</t>
  </si>
  <si>
    <t>** kaç dökümanda geçtiği, kaç kere geçtiği değil</t>
  </si>
  <si>
    <t>IDF</t>
  </si>
  <si>
    <t>Adım 5: TF * IDF'İ hesapla</t>
  </si>
  <si>
    <t>Adım 6: L2 Normalizayonu yap. (satırların kareleri toplamının karekökünü bul, ilgili satırdaki tüm hücreleri bulduğun değere böl)</t>
  </si>
  <si>
    <t>Kareleri Toplamının Karekökü</t>
  </si>
  <si>
    <t>TF-IDF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</si>
</sst>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4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3" fontId="0" fillId="0" borderId="1" xfId="0" applyNumberFormat="1" applyBorder="1" applyAlignmen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57EC-97DD-DF4B-96A3-52D9EC564245}">
  <dimension ref="A1:L59"/>
  <sheetViews>
    <sheetView tabSelected="1" workbookViewId="0">
      <selection activeCell="L14" sqref="L14"/>
    </sheetView>
  </sheetViews>
  <sheetFormatPr baseColWidth="10" defaultRowHeight="16" x14ac:dyDescent="0.2"/>
  <cols>
    <col min="1" max="1" width="57.1640625" customWidth="1"/>
    <col min="2" max="10" width="9.83203125" customWidth="1"/>
    <col min="12" max="12" width="17.1640625" bestFit="1" customWidth="1"/>
  </cols>
  <sheetData>
    <row r="1" spans="1:10" ht="35" customHeight="1" x14ac:dyDescent="0.2">
      <c r="B1" s="3" t="s">
        <v>0</v>
      </c>
      <c r="C1" s="3"/>
    </row>
    <row r="3" spans="1:10" x14ac:dyDescent="0.2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</row>
    <row r="5" spans="1:10" x14ac:dyDescent="0.2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 spans="1:10" x14ac:dyDescent="0.2">
      <c r="A6" s="1" t="s">
        <v>1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</row>
    <row r="12" spans="1:10" x14ac:dyDescent="0.2">
      <c r="A12" s="2" t="s">
        <v>16</v>
      </c>
      <c r="B12" s="2"/>
      <c r="C12" s="2"/>
      <c r="D12" s="2"/>
      <c r="E12" s="2"/>
      <c r="F12" s="2"/>
      <c r="G12" s="2"/>
      <c r="H12" s="2"/>
      <c r="I12" s="2"/>
      <c r="J12" s="2"/>
    </row>
    <row r="14" spans="1:10" x14ac:dyDescent="0.2">
      <c r="B14" t="s">
        <v>5</v>
      </c>
      <c r="C14" t="s">
        <v>6</v>
      </c>
      <c r="D14" t="s">
        <v>7</v>
      </c>
      <c r="E14" t="s">
        <v>8</v>
      </c>
      <c r="F14" t="s">
        <v>9</v>
      </c>
      <c r="G14" t="s">
        <v>10</v>
      </c>
      <c r="H14" t="s">
        <v>11</v>
      </c>
      <c r="I14" t="s">
        <v>12</v>
      </c>
      <c r="J14" t="s">
        <v>13</v>
      </c>
    </row>
    <row r="15" spans="1:10" x14ac:dyDescent="0.2">
      <c r="A15" s="1" t="s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1" t="s">
        <v>2</v>
      </c>
      <c r="B16" s="1">
        <v>1</v>
      </c>
      <c r="C16" s="1">
        <v>1</v>
      </c>
      <c r="D16" s="1">
        <v>1</v>
      </c>
      <c r="E16" s="1">
        <v>0</v>
      </c>
      <c r="F16" s="1">
        <v>2</v>
      </c>
      <c r="G16" s="1">
        <v>1</v>
      </c>
      <c r="H16" s="1">
        <v>0</v>
      </c>
      <c r="I16" s="1">
        <v>0</v>
      </c>
      <c r="J16" s="1">
        <v>0</v>
      </c>
    </row>
    <row r="17" spans="1:12" x14ac:dyDescent="0.2">
      <c r="A17" s="1" t="s">
        <v>3</v>
      </c>
      <c r="B17" s="1">
        <v>1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1</v>
      </c>
      <c r="I17" s="1">
        <v>1</v>
      </c>
      <c r="J17" s="1">
        <v>1</v>
      </c>
    </row>
    <row r="18" spans="1:12" x14ac:dyDescent="0.2">
      <c r="A18" s="1" t="s">
        <v>4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20" spans="1:12" x14ac:dyDescent="0.2">
      <c r="B20" s="3" t="s">
        <v>26</v>
      </c>
      <c r="C20" s="3"/>
    </row>
    <row r="21" spans="1:12" x14ac:dyDescent="0.2">
      <c r="B21" s="3"/>
      <c r="C21" s="3"/>
    </row>
    <row r="23" spans="1:12" x14ac:dyDescent="0.2">
      <c r="A23" s="2" t="s">
        <v>17</v>
      </c>
      <c r="B23" s="2"/>
      <c r="C23" s="2"/>
      <c r="D23" s="2"/>
      <c r="E23" s="2"/>
      <c r="F23" s="2"/>
      <c r="G23" s="2"/>
      <c r="H23" s="2"/>
      <c r="I23" s="2"/>
      <c r="J23" s="2"/>
    </row>
    <row r="24" spans="1:12" x14ac:dyDescent="0.2">
      <c r="L24" s="6" t="s">
        <v>14</v>
      </c>
    </row>
    <row r="25" spans="1:12" x14ac:dyDescent="0.2">
      <c r="B25" t="s">
        <v>5</v>
      </c>
      <c r="C25" t="s">
        <v>6</v>
      </c>
      <c r="D25" t="s">
        <v>7</v>
      </c>
      <c r="E25" t="s">
        <v>8</v>
      </c>
      <c r="F25" t="s">
        <v>9</v>
      </c>
      <c r="G25" t="s">
        <v>10</v>
      </c>
      <c r="H25" t="s">
        <v>11</v>
      </c>
      <c r="I25" t="s">
        <v>12</v>
      </c>
      <c r="J25" t="s">
        <v>13</v>
      </c>
      <c r="L25" s="6"/>
    </row>
    <row r="26" spans="1:12" x14ac:dyDescent="0.2">
      <c r="A26" s="1" t="s">
        <v>1</v>
      </c>
      <c r="B26" s="5">
        <f>B15/$L$26</f>
        <v>0.2</v>
      </c>
      <c r="C26" s="5">
        <f t="shared" ref="C26:J26" si="0">C15/$L$26</f>
        <v>0.2</v>
      </c>
      <c r="D26" s="5">
        <f t="shared" si="0"/>
        <v>0.2</v>
      </c>
      <c r="E26" s="5">
        <f t="shared" si="0"/>
        <v>0.2</v>
      </c>
      <c r="F26" s="5">
        <f t="shared" si="0"/>
        <v>0.2</v>
      </c>
      <c r="G26" s="1">
        <f t="shared" si="0"/>
        <v>0</v>
      </c>
      <c r="H26" s="1">
        <f t="shared" si="0"/>
        <v>0</v>
      </c>
      <c r="I26" s="1">
        <f t="shared" si="0"/>
        <v>0</v>
      </c>
      <c r="J26" s="1">
        <f t="shared" si="0"/>
        <v>0</v>
      </c>
      <c r="L26" s="4">
        <f>B15+C15+D15+E15+F15+G15+H15+I15+J15</f>
        <v>5</v>
      </c>
    </row>
    <row r="27" spans="1:12" x14ac:dyDescent="0.2">
      <c r="A27" s="1" t="s">
        <v>2</v>
      </c>
      <c r="B27" s="5">
        <f>B16/$L$27</f>
        <v>0.16666666666666666</v>
      </c>
      <c r="C27" s="5">
        <f t="shared" ref="C27:J27" si="1">C16/$L$27</f>
        <v>0.16666666666666666</v>
      </c>
      <c r="D27" s="5">
        <f t="shared" si="1"/>
        <v>0.16666666666666666</v>
      </c>
      <c r="E27" s="1">
        <f t="shared" si="1"/>
        <v>0</v>
      </c>
      <c r="F27" s="5">
        <f t="shared" si="1"/>
        <v>0.33333333333333331</v>
      </c>
      <c r="G27" s="5">
        <f t="shared" si="1"/>
        <v>0.16666666666666666</v>
      </c>
      <c r="H27" s="1">
        <f t="shared" si="1"/>
        <v>0</v>
      </c>
      <c r="I27" s="1">
        <f t="shared" si="1"/>
        <v>0</v>
      </c>
      <c r="J27" s="1">
        <f t="shared" si="1"/>
        <v>0</v>
      </c>
      <c r="L27" s="4">
        <f>B16+C16+D16+E16+F16+G16+H16+I16+J16</f>
        <v>6</v>
      </c>
    </row>
    <row r="28" spans="1:12" x14ac:dyDescent="0.2">
      <c r="A28" s="1" t="s">
        <v>3</v>
      </c>
      <c r="B28" s="5">
        <f>B17/$L$28</f>
        <v>0.16666666666666666</v>
      </c>
      <c r="C28" s="5">
        <f t="shared" ref="C28:J28" si="2">C17/$L$28</f>
        <v>0.16666666666666666</v>
      </c>
      <c r="D28" s="5">
        <f t="shared" si="2"/>
        <v>0.16666666666666666</v>
      </c>
      <c r="E28" s="1">
        <f t="shared" si="2"/>
        <v>0</v>
      </c>
      <c r="F28" s="1">
        <f t="shared" si="2"/>
        <v>0</v>
      </c>
      <c r="G28" s="1">
        <f t="shared" si="2"/>
        <v>0</v>
      </c>
      <c r="H28" s="5">
        <f t="shared" si="2"/>
        <v>0.16666666666666666</v>
      </c>
      <c r="I28" s="5">
        <f t="shared" si="2"/>
        <v>0.16666666666666666</v>
      </c>
      <c r="J28" s="5">
        <f t="shared" si="2"/>
        <v>0.16666666666666666</v>
      </c>
      <c r="L28" s="4">
        <f>B17+C17+D17+E17+F17+G17+H17+I17+J17</f>
        <v>6</v>
      </c>
    </row>
    <row r="29" spans="1:12" x14ac:dyDescent="0.2">
      <c r="A29" s="1" t="s">
        <v>4</v>
      </c>
      <c r="B29" s="5">
        <f>B18/$L$29</f>
        <v>0.2</v>
      </c>
      <c r="C29" s="5">
        <f t="shared" ref="C29:J29" si="3">C18/$L$29</f>
        <v>0.2</v>
      </c>
      <c r="D29" s="5">
        <f t="shared" si="3"/>
        <v>0.2</v>
      </c>
      <c r="E29" s="5">
        <f t="shared" si="3"/>
        <v>0.2</v>
      </c>
      <c r="F29" s="5">
        <f t="shared" si="3"/>
        <v>0.2</v>
      </c>
      <c r="G29" s="1">
        <f t="shared" si="3"/>
        <v>0</v>
      </c>
      <c r="H29" s="1">
        <f t="shared" si="3"/>
        <v>0</v>
      </c>
      <c r="I29" s="1">
        <f t="shared" si="3"/>
        <v>0</v>
      </c>
      <c r="J29" s="1">
        <f t="shared" si="3"/>
        <v>0</v>
      </c>
      <c r="L29" s="4">
        <f>B18+C18+D18+E18+F18+G18+H18+I18+J18</f>
        <v>5</v>
      </c>
    </row>
    <row r="32" spans="1:12" x14ac:dyDescent="0.2">
      <c r="A32" s="2" t="s">
        <v>18</v>
      </c>
      <c r="B32" s="2"/>
      <c r="C32" s="2"/>
      <c r="D32" s="2"/>
      <c r="E32" s="2"/>
      <c r="F32" s="2"/>
      <c r="G32" s="2"/>
      <c r="H32" s="2"/>
      <c r="I32" s="2"/>
      <c r="J32" s="2"/>
    </row>
    <row r="34" spans="1:10" x14ac:dyDescent="0.2">
      <c r="A34" s="7" t="s">
        <v>19</v>
      </c>
      <c r="B34">
        <v>4</v>
      </c>
    </row>
    <row r="35" spans="1:10" x14ac:dyDescent="0.2">
      <c r="A35" s="7"/>
    </row>
    <row r="36" spans="1:10" x14ac:dyDescent="0.2">
      <c r="B36" t="s">
        <v>5</v>
      </c>
      <c r="C36" t="s">
        <v>6</v>
      </c>
      <c r="D36" t="s">
        <v>7</v>
      </c>
      <c r="E36" t="s">
        <v>8</v>
      </c>
      <c r="F36" t="s">
        <v>9</v>
      </c>
      <c r="G36" t="s">
        <v>10</v>
      </c>
      <c r="H36" t="s">
        <v>11</v>
      </c>
      <c r="I36" t="s">
        <v>12</v>
      </c>
      <c r="J36" t="s">
        <v>13</v>
      </c>
    </row>
    <row r="37" spans="1:10" x14ac:dyDescent="0.2">
      <c r="A37" s="1" t="s">
        <v>20</v>
      </c>
      <c r="B37" s="1">
        <f>B15+B16+B17+B18</f>
        <v>4</v>
      </c>
      <c r="C37" s="1">
        <f>C15+C16+C17+C18</f>
        <v>4</v>
      </c>
      <c r="D37" s="1">
        <f>D15+D16+D17+D18</f>
        <v>4</v>
      </c>
      <c r="E37" s="1">
        <f>E15+E16+E17+E18</f>
        <v>2</v>
      </c>
      <c r="F37" s="1">
        <v>3</v>
      </c>
      <c r="G37" s="1">
        <f>G15+G16+G17+G18</f>
        <v>1</v>
      </c>
      <c r="H37" s="1">
        <f>H15+H16+H17+H18</f>
        <v>1</v>
      </c>
      <c r="I37" s="1">
        <f>I15+I16+I17+I18</f>
        <v>1</v>
      </c>
      <c r="J37" s="1">
        <f>J15+J16+J17+J18</f>
        <v>1</v>
      </c>
    </row>
    <row r="38" spans="1:10" x14ac:dyDescent="0.2">
      <c r="F38" t="s">
        <v>21</v>
      </c>
    </row>
    <row r="40" spans="1:10" x14ac:dyDescent="0.2">
      <c r="B40" t="s">
        <v>5</v>
      </c>
      <c r="C40" t="s">
        <v>6</v>
      </c>
      <c r="D40" t="s">
        <v>7</v>
      </c>
      <c r="E40" t="s">
        <v>8</v>
      </c>
      <c r="F40" t="s">
        <v>9</v>
      </c>
      <c r="G40" t="s">
        <v>10</v>
      </c>
      <c r="H40" t="s">
        <v>11</v>
      </c>
      <c r="I40" t="s">
        <v>12</v>
      </c>
      <c r="J40" t="s">
        <v>13</v>
      </c>
    </row>
    <row r="41" spans="1:10" x14ac:dyDescent="0.2">
      <c r="A41" s="1" t="s">
        <v>22</v>
      </c>
      <c r="B41" s="5">
        <f>1+LN(($B$34+1)/(B37+1))</f>
        <v>1</v>
      </c>
      <c r="C41" s="5">
        <f t="shared" ref="C41:J41" si="4">1+LN(($B$34+1)/(C37+1))</f>
        <v>1</v>
      </c>
      <c r="D41" s="5">
        <f t="shared" si="4"/>
        <v>1</v>
      </c>
      <c r="E41" s="5">
        <f t="shared" si="4"/>
        <v>1.5108256237659907</v>
      </c>
      <c r="F41" s="5">
        <f t="shared" si="4"/>
        <v>1.2231435513142097</v>
      </c>
      <c r="G41" s="5">
        <f t="shared" si="4"/>
        <v>1.9162907318741551</v>
      </c>
      <c r="H41" s="5">
        <f t="shared" si="4"/>
        <v>1.9162907318741551</v>
      </c>
      <c r="I41" s="5">
        <f t="shared" si="4"/>
        <v>1.9162907318741551</v>
      </c>
      <c r="J41" s="5">
        <f t="shared" si="4"/>
        <v>1.9162907318741551</v>
      </c>
    </row>
    <row r="44" spans="1:10" x14ac:dyDescent="0.2">
      <c r="A44" s="2" t="s">
        <v>23</v>
      </c>
      <c r="B44" s="2"/>
      <c r="C44" s="2"/>
      <c r="D44" s="2"/>
      <c r="E44" s="2"/>
      <c r="F44" s="2"/>
      <c r="G44" s="2"/>
      <c r="H44" s="2"/>
      <c r="I44" s="2"/>
      <c r="J44" s="2"/>
    </row>
    <row r="46" spans="1:10" x14ac:dyDescent="0.2">
      <c r="B46" t="s">
        <v>5</v>
      </c>
      <c r="C46" t="s">
        <v>6</v>
      </c>
      <c r="D46" t="s">
        <v>7</v>
      </c>
      <c r="E46" t="s">
        <v>8</v>
      </c>
      <c r="F46" t="s">
        <v>9</v>
      </c>
      <c r="G46" t="s">
        <v>10</v>
      </c>
      <c r="H46" t="s">
        <v>11</v>
      </c>
      <c r="I46" t="s">
        <v>12</v>
      </c>
      <c r="J46" t="s">
        <v>13</v>
      </c>
    </row>
    <row r="47" spans="1:10" x14ac:dyDescent="0.2">
      <c r="A47" s="1" t="s">
        <v>1</v>
      </c>
      <c r="B47" s="5">
        <f>B26*B41</f>
        <v>0.2</v>
      </c>
      <c r="C47" s="5">
        <f t="shared" ref="C47:J47" si="5">C26*C41</f>
        <v>0.2</v>
      </c>
      <c r="D47" s="5">
        <f t="shared" si="5"/>
        <v>0.2</v>
      </c>
      <c r="E47" s="5">
        <f t="shared" si="5"/>
        <v>0.30216512475319818</v>
      </c>
      <c r="F47" s="5">
        <f t="shared" si="5"/>
        <v>0.24462871026284194</v>
      </c>
      <c r="G47" s="8">
        <f t="shared" si="5"/>
        <v>0</v>
      </c>
      <c r="H47" s="8">
        <f t="shared" si="5"/>
        <v>0</v>
      </c>
      <c r="I47" s="8">
        <f t="shared" si="5"/>
        <v>0</v>
      </c>
      <c r="J47" s="8">
        <f t="shared" si="5"/>
        <v>0</v>
      </c>
    </row>
    <row r="48" spans="1:10" x14ac:dyDescent="0.2">
      <c r="A48" s="1" t="s">
        <v>2</v>
      </c>
      <c r="B48" s="5">
        <f>B27*B41</f>
        <v>0.16666666666666666</v>
      </c>
      <c r="C48" s="5">
        <f t="shared" ref="C48:J48" si="6">C27*C41</f>
        <v>0.16666666666666666</v>
      </c>
      <c r="D48" s="5">
        <f t="shared" si="6"/>
        <v>0.16666666666666666</v>
      </c>
      <c r="E48" s="8">
        <f t="shared" si="6"/>
        <v>0</v>
      </c>
      <c r="F48" s="5">
        <f t="shared" si="6"/>
        <v>0.40771451710473655</v>
      </c>
      <c r="G48" s="5">
        <f t="shared" si="6"/>
        <v>0.3193817886456925</v>
      </c>
      <c r="H48" s="8">
        <f t="shared" si="6"/>
        <v>0</v>
      </c>
      <c r="I48" s="8">
        <f t="shared" si="6"/>
        <v>0</v>
      </c>
      <c r="J48" s="8">
        <f t="shared" si="6"/>
        <v>0</v>
      </c>
    </row>
    <row r="49" spans="1:12" x14ac:dyDescent="0.2">
      <c r="A49" s="1" t="s">
        <v>3</v>
      </c>
      <c r="B49" s="5">
        <f>B28*B41</f>
        <v>0.16666666666666666</v>
      </c>
      <c r="C49" s="5">
        <f t="shared" ref="C49:J49" si="7">C28*C41</f>
        <v>0.16666666666666666</v>
      </c>
      <c r="D49" s="5">
        <f t="shared" si="7"/>
        <v>0.16666666666666666</v>
      </c>
      <c r="E49" s="8">
        <f t="shared" si="7"/>
        <v>0</v>
      </c>
      <c r="F49" s="8">
        <f t="shared" si="7"/>
        <v>0</v>
      </c>
      <c r="G49" s="8">
        <f t="shared" si="7"/>
        <v>0</v>
      </c>
      <c r="H49" s="5">
        <f t="shared" si="7"/>
        <v>0.3193817886456925</v>
      </c>
      <c r="I49" s="5">
        <f t="shared" si="7"/>
        <v>0.3193817886456925</v>
      </c>
      <c r="J49" s="5">
        <f t="shared" si="7"/>
        <v>0.3193817886456925</v>
      </c>
    </row>
    <row r="50" spans="1:12" x14ac:dyDescent="0.2">
      <c r="A50" s="1" t="s">
        <v>4</v>
      </c>
      <c r="B50" s="5">
        <f>B29*B41</f>
        <v>0.2</v>
      </c>
      <c r="C50" s="5">
        <f t="shared" ref="C50:J50" si="8">C29*C41</f>
        <v>0.2</v>
      </c>
      <c r="D50" s="5">
        <f t="shared" si="8"/>
        <v>0.2</v>
      </c>
      <c r="E50" s="5">
        <f t="shared" si="8"/>
        <v>0.30216512475319818</v>
      </c>
      <c r="F50" s="5">
        <f t="shared" si="8"/>
        <v>0.24462871026284194</v>
      </c>
      <c r="G50" s="8">
        <f t="shared" si="8"/>
        <v>0</v>
      </c>
      <c r="H50" s="8">
        <f t="shared" si="8"/>
        <v>0</v>
      </c>
      <c r="I50" s="8">
        <f t="shared" si="8"/>
        <v>0</v>
      </c>
      <c r="J50" s="8">
        <f t="shared" si="8"/>
        <v>0</v>
      </c>
    </row>
    <row r="53" spans="1:12" x14ac:dyDescent="0.2">
      <c r="A53" s="2" t="s">
        <v>24</v>
      </c>
      <c r="B53" s="2"/>
      <c r="C53" s="2"/>
      <c r="D53" s="2"/>
      <c r="E53" s="2"/>
      <c r="F53" s="2"/>
      <c r="G53" s="2"/>
      <c r="H53" s="2"/>
      <c r="I53" s="2"/>
      <c r="J53" s="2"/>
    </row>
    <row r="54" spans="1:12" x14ac:dyDescent="0.2">
      <c r="L54" s="6" t="s">
        <v>25</v>
      </c>
    </row>
    <row r="55" spans="1:12" x14ac:dyDescent="0.2">
      <c r="B55" t="s">
        <v>5</v>
      </c>
      <c r="C55" t="s">
        <v>6</v>
      </c>
      <c r="D55" t="s">
        <v>7</v>
      </c>
      <c r="E55" t="s">
        <v>8</v>
      </c>
      <c r="F55" t="s">
        <v>9</v>
      </c>
      <c r="G55" t="s">
        <v>10</v>
      </c>
      <c r="H55" t="s">
        <v>11</v>
      </c>
      <c r="I55" t="s">
        <v>12</v>
      </c>
      <c r="J55" t="s">
        <v>13</v>
      </c>
      <c r="L55" s="6"/>
    </row>
    <row r="56" spans="1:12" x14ac:dyDescent="0.2">
      <c r="A56" s="1" t="s">
        <v>1</v>
      </c>
      <c r="B56" s="5">
        <f>B47/$L$56</f>
        <v>0.38408524091481488</v>
      </c>
      <c r="C56" s="5">
        <f t="shared" ref="C56:J56" si="9">C47/$L$56</f>
        <v>0.38408524091481488</v>
      </c>
      <c r="D56" s="5">
        <f t="shared" si="9"/>
        <v>0.38408524091481488</v>
      </c>
      <c r="E56" s="5">
        <f t="shared" si="9"/>
        <v>0.58028582368443604</v>
      </c>
      <c r="F56" s="5">
        <f t="shared" si="9"/>
        <v>0.46979138557992051</v>
      </c>
      <c r="G56" s="8">
        <f t="shared" si="9"/>
        <v>0</v>
      </c>
      <c r="H56" s="8">
        <f t="shared" si="9"/>
        <v>0</v>
      </c>
      <c r="I56" s="8">
        <f t="shared" si="9"/>
        <v>0</v>
      </c>
      <c r="J56" s="8">
        <f t="shared" si="9"/>
        <v>0</v>
      </c>
      <c r="L56" s="9">
        <f>SQRT((B47*B47)+(C47*C47)+(D47*D47)+(E47*E47)+(F47*F47)+(G47*G47)+(H47*H47)+(I47*I47)+(J47*J47))</f>
        <v>0.52071774360201828</v>
      </c>
    </row>
    <row r="57" spans="1:12" x14ac:dyDescent="0.2">
      <c r="A57" s="1" t="s">
        <v>2</v>
      </c>
      <c r="B57" s="5">
        <f>B48/$L$57</f>
        <v>0.28108867403375293</v>
      </c>
      <c r="C57" s="5">
        <f t="shared" ref="C57:J57" si="10">C48/$L$57</f>
        <v>0.28108867403375293</v>
      </c>
      <c r="D57" s="5">
        <f t="shared" si="10"/>
        <v>0.28108867403375293</v>
      </c>
      <c r="E57" s="8">
        <f t="shared" si="10"/>
        <v>0</v>
      </c>
      <c r="F57" s="5">
        <f t="shared" si="10"/>
        <v>0.68762359798369366</v>
      </c>
      <c r="G57" s="5">
        <f t="shared" si="10"/>
        <v>0.53864762088567619</v>
      </c>
      <c r="H57" s="8">
        <f t="shared" si="10"/>
        <v>0</v>
      </c>
      <c r="I57" s="8">
        <f t="shared" si="10"/>
        <v>0</v>
      </c>
      <c r="J57" s="8">
        <f t="shared" si="10"/>
        <v>0</v>
      </c>
      <c r="L57" s="9">
        <f t="shared" ref="L57:L59" si="11">SQRT((B48*B48)+(C48*C48)+(D48*D48)+(E48*E48)+(F48*F48)+(G48*G48)+(H48*H48)+(I48*I48)+(J48*J48))</f>
        <v>0.59293270082683391</v>
      </c>
    </row>
    <row r="58" spans="1:12" x14ac:dyDescent="0.2">
      <c r="A58" s="1" t="s">
        <v>3</v>
      </c>
      <c r="B58" s="5">
        <f>B49/$L$58</f>
        <v>0.26710378764216802</v>
      </c>
      <c r="C58" s="5">
        <f t="shared" ref="C58:J58" si="12">C49/$L$58</f>
        <v>0.26710378764216802</v>
      </c>
      <c r="D58" s="5">
        <f t="shared" si="12"/>
        <v>0.26710378764216802</v>
      </c>
      <c r="E58" s="8">
        <f t="shared" si="12"/>
        <v>0</v>
      </c>
      <c r="F58" s="8">
        <f t="shared" si="12"/>
        <v>0</v>
      </c>
      <c r="G58" s="8">
        <f t="shared" si="12"/>
        <v>0</v>
      </c>
      <c r="H58" s="5">
        <f t="shared" si="12"/>
        <v>0.51184851270716902</v>
      </c>
      <c r="I58" s="5">
        <f t="shared" si="12"/>
        <v>0.51184851270716902</v>
      </c>
      <c r="J58" s="5">
        <f t="shared" si="12"/>
        <v>0.51184851270716902</v>
      </c>
      <c r="L58" s="9">
        <f t="shared" si="11"/>
        <v>0.62397717433324329</v>
      </c>
    </row>
    <row r="59" spans="1:12" x14ac:dyDescent="0.2">
      <c r="A59" s="1" t="s">
        <v>4</v>
      </c>
      <c r="B59" s="5">
        <f>B50/$L$59</f>
        <v>0.38408524091481488</v>
      </c>
      <c r="C59" s="5">
        <f t="shared" ref="C59:J59" si="13">C50/$L$59</f>
        <v>0.38408524091481488</v>
      </c>
      <c r="D59" s="5">
        <f t="shared" si="13"/>
        <v>0.38408524091481488</v>
      </c>
      <c r="E59" s="5">
        <f t="shared" si="13"/>
        <v>0.58028582368443604</v>
      </c>
      <c r="F59" s="5">
        <f t="shared" si="13"/>
        <v>0.46979138557992051</v>
      </c>
      <c r="G59" s="8">
        <f t="shared" si="13"/>
        <v>0</v>
      </c>
      <c r="H59" s="8">
        <f t="shared" si="13"/>
        <v>0</v>
      </c>
      <c r="I59" s="8">
        <f t="shared" si="13"/>
        <v>0</v>
      </c>
      <c r="J59" s="8">
        <f t="shared" si="13"/>
        <v>0</v>
      </c>
      <c r="L59" s="9">
        <f t="shared" si="11"/>
        <v>0.52071774360201828</v>
      </c>
    </row>
  </sheetData>
  <mergeCells count="10">
    <mergeCell ref="A44:J44"/>
    <mergeCell ref="A53:J53"/>
    <mergeCell ref="L54:L55"/>
    <mergeCell ref="B20:C21"/>
    <mergeCell ref="A3:J3"/>
    <mergeCell ref="A12:J12"/>
    <mergeCell ref="B1:C1"/>
    <mergeCell ref="A23:J23"/>
    <mergeCell ref="L24:L25"/>
    <mergeCell ref="A32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Atakan Acıbal</dc:creator>
  <cp:lastModifiedBy>Atakan Acıbal</cp:lastModifiedBy>
  <dcterms:created xsi:type="dcterms:W3CDTF">2025-04-04T06:56:09Z</dcterms:created>
  <dcterms:modified xsi:type="dcterms:W3CDTF">2025-04-04T08:07:42Z</dcterms:modified>
</cp:coreProperties>
</file>