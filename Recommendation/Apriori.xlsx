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ibal/DataScience/Miuul/DS_Bootcamp_13/recommendation/"/>
    </mc:Choice>
  </mc:AlternateContent>
  <xr:revisionPtr revIDLastSave="0" documentId="13_ncr:1_{8A319A37-AD7D-954E-9095-713B4CD23D0D}" xr6:coauthVersionLast="47" xr6:coauthVersionMax="47" xr10:uidLastSave="{00000000-0000-0000-0000-000000000000}"/>
  <bookViews>
    <workbookView xWindow="17300" yWindow="840" windowWidth="16900" windowHeight="21400" xr2:uid="{B435E529-6535-BE46-AD1F-64E241E6D0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6" i="1" l="1"/>
  <c r="F115" i="1"/>
  <c r="F114" i="1"/>
  <c r="F113" i="1"/>
  <c r="F112" i="1"/>
  <c r="F109" i="1"/>
  <c r="F110" i="1"/>
  <c r="F111" i="1"/>
  <c r="F108" i="1"/>
  <c r="E109" i="1"/>
  <c r="E110" i="1"/>
  <c r="E111" i="1"/>
  <c r="E108" i="1"/>
  <c r="E116" i="1"/>
  <c r="E115" i="1"/>
  <c r="E114" i="1"/>
  <c r="E113" i="1"/>
  <c r="E112" i="1"/>
  <c r="D109" i="1"/>
  <c r="D110" i="1"/>
  <c r="D111" i="1"/>
  <c r="D112" i="1"/>
  <c r="D113" i="1"/>
  <c r="D114" i="1"/>
  <c r="D115" i="1"/>
  <c r="D116" i="1"/>
  <c r="D108" i="1"/>
  <c r="D99" i="1"/>
  <c r="D98" i="1"/>
  <c r="D97" i="1"/>
  <c r="D96" i="1"/>
  <c r="D91" i="1"/>
  <c r="D90" i="1"/>
  <c r="D89" i="1"/>
  <c r="D88" i="1"/>
  <c r="D69" i="1"/>
  <c r="D68" i="1"/>
  <c r="D67" i="1"/>
  <c r="D66" i="1"/>
  <c r="D65" i="1"/>
  <c r="D64" i="1"/>
  <c r="D59" i="1"/>
  <c r="D58" i="1"/>
  <c r="D57" i="1"/>
  <c r="D56" i="1"/>
  <c r="D55" i="1"/>
  <c r="D54" i="1"/>
  <c r="D33" i="1"/>
  <c r="D32" i="1"/>
  <c r="D31" i="1"/>
  <c r="D30" i="1"/>
  <c r="D29" i="1"/>
  <c r="D28" i="1"/>
  <c r="D19" i="1"/>
  <c r="D20" i="1"/>
  <c r="D21" i="1"/>
  <c r="D22" i="1"/>
  <c r="D23" i="1"/>
  <c r="D18" i="1"/>
</calcChain>
</file>

<file path=xl/sharedStrings.xml><?xml version="1.0" encoding="utf-8"?>
<sst xmlns="http://schemas.openxmlformats.org/spreadsheetml/2006/main" count="134" uniqueCount="45">
  <si>
    <t>N = 5</t>
  </si>
  <si>
    <t>Support = %20 (0.2)</t>
  </si>
  <si>
    <t>Support FREQ = 1</t>
  </si>
  <si>
    <t>APRIORI NASIL ÇALIŞIR?</t>
  </si>
  <si>
    <t>ALIŞVERİŞ KAYITLARI</t>
  </si>
  <si>
    <t>TID</t>
  </si>
  <si>
    <t>ITEMS</t>
  </si>
  <si>
    <t>Süt, Çay, Kek</t>
  </si>
  <si>
    <t>Yumurta, Çay, Kola</t>
  </si>
  <si>
    <t>Süt, Yumurta, Çay, Kola</t>
  </si>
  <si>
    <t>Yumurta, Kola</t>
  </si>
  <si>
    <t>Meyve Suyu</t>
  </si>
  <si>
    <t>ADIM 1: Her bir ürünün support'unu hesapla</t>
  </si>
  <si>
    <t>FREQ</t>
  </si>
  <si>
    <t>Süt</t>
  </si>
  <si>
    <t>Yumurta</t>
  </si>
  <si>
    <t>Çay</t>
  </si>
  <si>
    <t>Kola</t>
  </si>
  <si>
    <t>Kek</t>
  </si>
  <si>
    <t>SUPPORT</t>
  </si>
  <si>
    <t>ADIM 2: Support'a göre eleme yap</t>
  </si>
  <si>
    <t>ADIM 3: Yeni liste ve support'u oluştur</t>
  </si>
  <si>
    <t>Süt, Yumurta</t>
  </si>
  <si>
    <t>Süt, Çay</t>
  </si>
  <si>
    <t>Süt, Kola</t>
  </si>
  <si>
    <t>Yumurta, Çay</t>
  </si>
  <si>
    <t>Çay, Kola</t>
  </si>
  <si>
    <t>ADIM 4: Support'a göre eleme yap</t>
  </si>
  <si>
    <t>ADIM 5: Yeni liste ve support'u oluştur</t>
  </si>
  <si>
    <t>Süt, Çay, Yumurta</t>
  </si>
  <si>
    <t>Süt, Çay, Kola</t>
  </si>
  <si>
    <t>Çay, Yumurta, Kola</t>
  </si>
  <si>
    <t>Süt, Çay, Yumurta, Kola</t>
  </si>
  <si>
    <t>ADIM 6: Support!a göre eleme yap</t>
  </si>
  <si>
    <t>ADIM 7: Final tablosunu oluşturup yorumla</t>
  </si>
  <si>
    <t>CONFIDENCE</t>
  </si>
  <si>
    <t>LIFT</t>
  </si>
  <si>
    <t>Formüller:</t>
  </si>
  <si>
    <t>Support(X,Y) = Freq(X,Y)/N</t>
  </si>
  <si>
    <t>Confidence(X,Y) = Freq(X,Y) / Freq(x)</t>
  </si>
  <si>
    <t>Lift = Support(X,Y) / (Support(x) * Support(Y)</t>
  </si>
  <si>
    <t>Yorumlar:</t>
  </si>
  <si>
    <t>Yumurta ve çay tüm alışverişlerin yüzde 40'ında birlikte gözlenmektedir.</t>
  </si>
  <si>
    <t>Yumurta alan müşterilerin yüzde 67'si çay da almaktadır.</t>
  </si>
  <si>
    <t>Yumurta olan alışverişlerde çay ürününün satışı 1.11 kat artmaktadır.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</si>
</sst>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4BE0-0561-3A4F-AA6C-A15CFC71CF9D}">
  <dimension ref="B2:G127"/>
  <sheetViews>
    <sheetView tabSelected="1" topLeftCell="A93" zoomScale="125" workbookViewId="0">
      <selection activeCell="D121" sqref="D121"/>
    </sheetView>
  </sheetViews>
  <sheetFormatPr baseColWidth="10" defaultRowHeight="16" x14ac:dyDescent="0.2"/>
  <cols>
    <col min="1" max="1" width="5.83203125" customWidth="1"/>
    <col min="2" max="3" width="23.6640625" customWidth="1"/>
    <col min="4" max="6" width="15.5" customWidth="1"/>
    <col min="7" max="7" width="20" bestFit="1" customWidth="1"/>
  </cols>
  <sheetData>
    <row r="2" spans="2:4" x14ac:dyDescent="0.2">
      <c r="B2" s="2" t="s">
        <v>3</v>
      </c>
      <c r="C2" s="2"/>
    </row>
    <row r="4" spans="2:4" x14ac:dyDescent="0.2">
      <c r="B4" t="s">
        <v>0</v>
      </c>
      <c r="C4" t="s">
        <v>1</v>
      </c>
      <c r="D4" t="s">
        <v>2</v>
      </c>
    </row>
    <row r="7" spans="2:4" x14ac:dyDescent="0.2">
      <c r="B7" s="3" t="s">
        <v>4</v>
      </c>
      <c r="C7" s="3"/>
    </row>
    <row r="8" spans="2:4" x14ac:dyDescent="0.2">
      <c r="B8" s="4" t="s">
        <v>5</v>
      </c>
      <c r="C8" s="4" t="s">
        <v>6</v>
      </c>
    </row>
    <row r="9" spans="2:4" x14ac:dyDescent="0.2">
      <c r="B9" s="5">
        <v>1001</v>
      </c>
      <c r="C9" s="5" t="s">
        <v>7</v>
      </c>
    </row>
    <row r="10" spans="2:4" x14ac:dyDescent="0.2">
      <c r="B10" s="5">
        <v>1002</v>
      </c>
      <c r="C10" s="5" t="s">
        <v>8</v>
      </c>
    </row>
    <row r="11" spans="2:4" x14ac:dyDescent="0.2">
      <c r="B11" s="5">
        <v>1003</v>
      </c>
      <c r="C11" s="5" t="s">
        <v>9</v>
      </c>
    </row>
    <row r="12" spans="2:4" x14ac:dyDescent="0.2">
      <c r="B12" s="5">
        <v>1004</v>
      </c>
      <c r="C12" s="5" t="s">
        <v>10</v>
      </c>
    </row>
    <row r="13" spans="2:4" x14ac:dyDescent="0.2">
      <c r="B13" s="5">
        <v>1005</v>
      </c>
      <c r="C13" s="5" t="s">
        <v>11</v>
      </c>
    </row>
    <row r="16" spans="2:4" x14ac:dyDescent="0.2">
      <c r="B16" s="8" t="s">
        <v>12</v>
      </c>
      <c r="C16" s="8"/>
    </row>
    <row r="17" spans="2:4" x14ac:dyDescent="0.2">
      <c r="B17" s="4" t="s">
        <v>6</v>
      </c>
      <c r="C17" s="4" t="s">
        <v>13</v>
      </c>
      <c r="D17" s="1" t="s">
        <v>19</v>
      </c>
    </row>
    <row r="18" spans="2:4" x14ac:dyDescent="0.2">
      <c r="B18" s="5" t="s">
        <v>14</v>
      </c>
      <c r="C18" s="5">
        <v>2</v>
      </c>
      <c r="D18" s="1">
        <f>C18/5</f>
        <v>0.4</v>
      </c>
    </row>
    <row r="19" spans="2:4" x14ac:dyDescent="0.2">
      <c r="B19" s="5" t="s">
        <v>15</v>
      </c>
      <c r="C19" s="5">
        <v>3</v>
      </c>
      <c r="D19" s="1">
        <f t="shared" ref="D19:D23" si="0">C19/5</f>
        <v>0.6</v>
      </c>
    </row>
    <row r="20" spans="2:4" x14ac:dyDescent="0.2">
      <c r="B20" s="5" t="s">
        <v>16</v>
      </c>
      <c r="C20" s="5">
        <v>3</v>
      </c>
      <c r="D20" s="1">
        <f t="shared" si="0"/>
        <v>0.6</v>
      </c>
    </row>
    <row r="21" spans="2:4" x14ac:dyDescent="0.2">
      <c r="B21" s="5" t="s">
        <v>17</v>
      </c>
      <c r="C21" s="5">
        <v>3</v>
      </c>
      <c r="D21" s="1">
        <f t="shared" si="0"/>
        <v>0.6</v>
      </c>
    </row>
    <row r="22" spans="2:4" x14ac:dyDescent="0.2">
      <c r="B22" s="5" t="s">
        <v>18</v>
      </c>
      <c r="C22" s="5">
        <v>1</v>
      </c>
      <c r="D22" s="1">
        <f t="shared" si="0"/>
        <v>0.2</v>
      </c>
    </row>
    <row r="23" spans="2:4" x14ac:dyDescent="0.2">
      <c r="B23" s="5" t="s">
        <v>11</v>
      </c>
      <c r="C23" s="5">
        <v>1</v>
      </c>
      <c r="D23" s="1">
        <f t="shared" si="0"/>
        <v>0.2</v>
      </c>
    </row>
    <row r="26" spans="2:4" x14ac:dyDescent="0.2">
      <c r="B26" s="8" t="s">
        <v>20</v>
      </c>
      <c r="C26" s="8"/>
    </row>
    <row r="27" spans="2:4" x14ac:dyDescent="0.2">
      <c r="B27" s="4" t="s">
        <v>6</v>
      </c>
      <c r="C27" s="4" t="s">
        <v>13</v>
      </c>
      <c r="D27" s="4" t="s">
        <v>19</v>
      </c>
    </row>
    <row r="28" spans="2:4" x14ac:dyDescent="0.2">
      <c r="B28" s="5" t="s">
        <v>14</v>
      </c>
      <c r="C28" s="5">
        <v>2</v>
      </c>
      <c r="D28" s="5">
        <f>C28/5</f>
        <v>0.4</v>
      </c>
    </row>
    <row r="29" spans="2:4" x14ac:dyDescent="0.2">
      <c r="B29" s="5" t="s">
        <v>15</v>
      </c>
      <c r="C29" s="5">
        <v>3</v>
      </c>
      <c r="D29" s="5">
        <f t="shared" ref="D29:D33" si="1">C29/5</f>
        <v>0.6</v>
      </c>
    </row>
    <row r="30" spans="2:4" x14ac:dyDescent="0.2">
      <c r="B30" s="5" t="s">
        <v>16</v>
      </c>
      <c r="C30" s="5">
        <v>3</v>
      </c>
      <c r="D30" s="5">
        <f t="shared" si="1"/>
        <v>0.6</v>
      </c>
    </row>
    <row r="31" spans="2:4" x14ac:dyDescent="0.2">
      <c r="B31" s="5" t="s">
        <v>17</v>
      </c>
      <c r="C31" s="5">
        <v>3</v>
      </c>
      <c r="D31" s="5">
        <f t="shared" si="1"/>
        <v>0.6</v>
      </c>
    </row>
    <row r="32" spans="2:4" x14ac:dyDescent="0.2">
      <c r="B32" s="6" t="s">
        <v>18</v>
      </c>
      <c r="C32" s="6">
        <v>1</v>
      </c>
      <c r="D32" s="6">
        <f t="shared" si="1"/>
        <v>0.2</v>
      </c>
    </row>
    <row r="33" spans="2:4" x14ac:dyDescent="0.2">
      <c r="B33" s="6" t="s">
        <v>11</v>
      </c>
      <c r="C33" s="6">
        <v>1</v>
      </c>
      <c r="D33" s="6">
        <f t="shared" si="1"/>
        <v>0.2</v>
      </c>
    </row>
    <row r="36" spans="2:4" x14ac:dyDescent="0.2">
      <c r="B36" s="4" t="s">
        <v>6</v>
      </c>
      <c r="C36" s="4" t="s">
        <v>13</v>
      </c>
    </row>
    <row r="37" spans="2:4" x14ac:dyDescent="0.2">
      <c r="B37" s="5" t="s">
        <v>14</v>
      </c>
      <c r="C37" s="5">
        <v>2</v>
      </c>
    </row>
    <row r="38" spans="2:4" x14ac:dyDescent="0.2">
      <c r="B38" s="5" t="s">
        <v>15</v>
      </c>
      <c r="C38" s="5">
        <v>3</v>
      </c>
    </row>
    <row r="39" spans="2:4" x14ac:dyDescent="0.2">
      <c r="B39" s="5" t="s">
        <v>16</v>
      </c>
      <c r="C39" s="5">
        <v>3</v>
      </c>
    </row>
    <row r="40" spans="2:4" x14ac:dyDescent="0.2">
      <c r="B40" s="5" t="s">
        <v>17</v>
      </c>
      <c r="C40" s="5">
        <v>3</v>
      </c>
    </row>
    <row r="43" spans="2:4" x14ac:dyDescent="0.2">
      <c r="B43" s="8" t="s">
        <v>21</v>
      </c>
      <c r="C43" s="8"/>
    </row>
    <row r="44" spans="2:4" x14ac:dyDescent="0.2">
      <c r="B44" s="4" t="s">
        <v>6</v>
      </c>
    </row>
    <row r="45" spans="2:4" x14ac:dyDescent="0.2">
      <c r="B45" s="5" t="s">
        <v>22</v>
      </c>
    </row>
    <row r="46" spans="2:4" x14ac:dyDescent="0.2">
      <c r="B46" s="5" t="s">
        <v>23</v>
      </c>
      <c r="C46" s="8"/>
      <c r="D46" s="8"/>
    </row>
    <row r="47" spans="2:4" x14ac:dyDescent="0.2">
      <c r="B47" s="5" t="s">
        <v>24</v>
      </c>
    </row>
    <row r="48" spans="2:4" x14ac:dyDescent="0.2">
      <c r="B48" s="5" t="s">
        <v>25</v>
      </c>
    </row>
    <row r="49" spans="2:7" x14ac:dyDescent="0.2">
      <c r="B49" s="7" t="s">
        <v>10</v>
      </c>
    </row>
    <row r="50" spans="2:7" x14ac:dyDescent="0.2">
      <c r="B50" s="7" t="s">
        <v>26</v>
      </c>
    </row>
    <row r="53" spans="2:7" x14ac:dyDescent="0.2">
      <c r="B53" s="4" t="s">
        <v>6</v>
      </c>
      <c r="C53" s="4" t="s">
        <v>13</v>
      </c>
      <c r="D53" s="4" t="s">
        <v>19</v>
      </c>
      <c r="F53" s="3" t="s">
        <v>4</v>
      </c>
      <c r="G53" s="3"/>
    </row>
    <row r="54" spans="2:7" x14ac:dyDescent="0.2">
      <c r="B54" s="5" t="s">
        <v>22</v>
      </c>
      <c r="C54" s="5">
        <v>1</v>
      </c>
      <c r="D54" s="5">
        <f>C54/5</f>
        <v>0.2</v>
      </c>
      <c r="F54" s="4" t="s">
        <v>5</v>
      </c>
      <c r="G54" s="4" t="s">
        <v>6</v>
      </c>
    </row>
    <row r="55" spans="2:7" x14ac:dyDescent="0.2">
      <c r="B55" s="5" t="s">
        <v>23</v>
      </c>
      <c r="C55" s="5">
        <v>2</v>
      </c>
      <c r="D55" s="5">
        <f t="shared" ref="D55:D59" si="2">C55/5</f>
        <v>0.4</v>
      </c>
      <c r="F55" s="5">
        <v>1001</v>
      </c>
      <c r="G55" s="5" t="s">
        <v>7</v>
      </c>
    </row>
    <row r="56" spans="2:7" x14ac:dyDescent="0.2">
      <c r="B56" s="5" t="s">
        <v>24</v>
      </c>
      <c r="C56" s="5">
        <v>1</v>
      </c>
      <c r="D56" s="5">
        <f t="shared" si="2"/>
        <v>0.2</v>
      </c>
      <c r="F56" s="5">
        <v>1002</v>
      </c>
      <c r="G56" s="5" t="s">
        <v>8</v>
      </c>
    </row>
    <row r="57" spans="2:7" x14ac:dyDescent="0.2">
      <c r="B57" s="5" t="s">
        <v>25</v>
      </c>
      <c r="C57" s="5">
        <v>2</v>
      </c>
      <c r="D57" s="5">
        <f t="shared" si="2"/>
        <v>0.4</v>
      </c>
      <c r="F57" s="5">
        <v>1003</v>
      </c>
      <c r="G57" s="5" t="s">
        <v>9</v>
      </c>
    </row>
    <row r="58" spans="2:7" x14ac:dyDescent="0.2">
      <c r="B58" s="7" t="s">
        <v>10</v>
      </c>
      <c r="C58" s="7">
        <v>3</v>
      </c>
      <c r="D58" s="7">
        <f t="shared" si="2"/>
        <v>0.6</v>
      </c>
      <c r="F58" s="5">
        <v>1004</v>
      </c>
      <c r="G58" s="5" t="s">
        <v>10</v>
      </c>
    </row>
    <row r="59" spans="2:7" x14ac:dyDescent="0.2">
      <c r="B59" s="7" t="s">
        <v>26</v>
      </c>
      <c r="C59" s="7">
        <v>2</v>
      </c>
      <c r="D59" s="7">
        <f t="shared" si="2"/>
        <v>0.4</v>
      </c>
      <c r="F59" s="5">
        <v>1005</v>
      </c>
      <c r="G59" s="5" t="s">
        <v>11</v>
      </c>
    </row>
    <row r="62" spans="2:7" x14ac:dyDescent="0.2">
      <c r="B62" s="8" t="s">
        <v>27</v>
      </c>
      <c r="C62" s="8"/>
    </row>
    <row r="63" spans="2:7" x14ac:dyDescent="0.2">
      <c r="B63" s="4" t="s">
        <v>6</v>
      </c>
      <c r="C63" s="4" t="s">
        <v>13</v>
      </c>
      <c r="D63" s="4" t="s">
        <v>19</v>
      </c>
    </row>
    <row r="64" spans="2:7" x14ac:dyDescent="0.2">
      <c r="B64" s="6" t="s">
        <v>22</v>
      </c>
      <c r="C64" s="6">
        <v>1</v>
      </c>
      <c r="D64" s="6">
        <f>C64/5</f>
        <v>0.2</v>
      </c>
    </row>
    <row r="65" spans="2:4" x14ac:dyDescent="0.2">
      <c r="B65" s="5" t="s">
        <v>23</v>
      </c>
      <c r="C65" s="5">
        <v>2</v>
      </c>
      <c r="D65" s="5">
        <f t="shared" ref="D65:D69" si="3">C65/5</f>
        <v>0.4</v>
      </c>
    </row>
    <row r="66" spans="2:4" x14ac:dyDescent="0.2">
      <c r="B66" s="6" t="s">
        <v>24</v>
      </c>
      <c r="C66" s="6">
        <v>1</v>
      </c>
      <c r="D66" s="6">
        <f t="shared" si="3"/>
        <v>0.2</v>
      </c>
    </row>
    <row r="67" spans="2:4" x14ac:dyDescent="0.2">
      <c r="B67" s="5" t="s">
        <v>25</v>
      </c>
      <c r="C67" s="5">
        <v>2</v>
      </c>
      <c r="D67" s="5">
        <f t="shared" si="3"/>
        <v>0.4</v>
      </c>
    </row>
    <row r="68" spans="2:4" x14ac:dyDescent="0.2">
      <c r="B68" s="7" t="s">
        <v>10</v>
      </c>
      <c r="C68" s="7">
        <v>3</v>
      </c>
      <c r="D68" s="7">
        <f t="shared" si="3"/>
        <v>0.6</v>
      </c>
    </row>
    <row r="69" spans="2:4" x14ac:dyDescent="0.2">
      <c r="B69" s="7" t="s">
        <v>26</v>
      </c>
      <c r="C69" s="7">
        <v>2</v>
      </c>
      <c r="D69" s="7">
        <f t="shared" si="3"/>
        <v>0.4</v>
      </c>
    </row>
    <row r="72" spans="2:4" x14ac:dyDescent="0.2">
      <c r="B72" s="4" t="s">
        <v>6</v>
      </c>
      <c r="C72" s="4" t="s">
        <v>13</v>
      </c>
    </row>
    <row r="73" spans="2:4" x14ac:dyDescent="0.2">
      <c r="B73" s="5" t="s">
        <v>23</v>
      </c>
      <c r="C73" s="5">
        <v>2</v>
      </c>
    </row>
    <row r="74" spans="2:4" x14ac:dyDescent="0.2">
      <c r="B74" s="5" t="s">
        <v>25</v>
      </c>
      <c r="C74" s="5">
        <v>2</v>
      </c>
    </row>
    <row r="75" spans="2:4" x14ac:dyDescent="0.2">
      <c r="B75" s="5" t="s">
        <v>10</v>
      </c>
      <c r="C75" s="5">
        <v>3</v>
      </c>
    </row>
    <row r="76" spans="2:4" x14ac:dyDescent="0.2">
      <c r="B76" s="5" t="s">
        <v>26</v>
      </c>
      <c r="C76" s="5">
        <v>2</v>
      </c>
    </row>
    <row r="79" spans="2:4" x14ac:dyDescent="0.2">
      <c r="B79" s="8" t="s">
        <v>28</v>
      </c>
      <c r="C79" s="8"/>
    </row>
    <row r="80" spans="2:4" x14ac:dyDescent="0.2">
      <c r="B80" s="4" t="s">
        <v>6</v>
      </c>
    </row>
    <row r="81" spans="2:7" x14ac:dyDescent="0.2">
      <c r="B81" s="5" t="s">
        <v>29</v>
      </c>
    </row>
    <row r="82" spans="2:7" x14ac:dyDescent="0.2">
      <c r="B82" s="5" t="s">
        <v>30</v>
      </c>
    </row>
    <row r="83" spans="2:7" x14ac:dyDescent="0.2">
      <c r="B83" s="5" t="s">
        <v>31</v>
      </c>
    </row>
    <row r="84" spans="2:7" x14ac:dyDescent="0.2">
      <c r="B84" s="5" t="s">
        <v>32</v>
      </c>
    </row>
    <row r="87" spans="2:7" x14ac:dyDescent="0.2">
      <c r="B87" s="4" t="s">
        <v>6</v>
      </c>
      <c r="C87" s="4" t="s">
        <v>13</v>
      </c>
      <c r="D87" s="4" t="s">
        <v>19</v>
      </c>
      <c r="F87" s="3" t="s">
        <v>4</v>
      </c>
      <c r="G87" s="3"/>
    </row>
    <row r="88" spans="2:7" x14ac:dyDescent="0.2">
      <c r="B88" s="5" t="s">
        <v>29</v>
      </c>
      <c r="C88" s="5">
        <v>1</v>
      </c>
      <c r="D88" s="5">
        <f>C88/5</f>
        <v>0.2</v>
      </c>
      <c r="F88" s="4" t="s">
        <v>5</v>
      </c>
      <c r="G88" s="4" t="s">
        <v>6</v>
      </c>
    </row>
    <row r="89" spans="2:7" x14ac:dyDescent="0.2">
      <c r="B89" s="5" t="s">
        <v>30</v>
      </c>
      <c r="C89" s="5">
        <v>1</v>
      </c>
      <c r="D89" s="5">
        <f t="shared" ref="D89:D91" si="4">C89/5</f>
        <v>0.2</v>
      </c>
      <c r="F89" s="5">
        <v>1001</v>
      </c>
      <c r="G89" s="5" t="s">
        <v>7</v>
      </c>
    </row>
    <row r="90" spans="2:7" x14ac:dyDescent="0.2">
      <c r="B90" s="5" t="s">
        <v>31</v>
      </c>
      <c r="C90" s="5">
        <v>2</v>
      </c>
      <c r="D90" s="5">
        <f t="shared" si="4"/>
        <v>0.4</v>
      </c>
      <c r="F90" s="5">
        <v>1002</v>
      </c>
      <c r="G90" s="5" t="s">
        <v>8</v>
      </c>
    </row>
    <row r="91" spans="2:7" x14ac:dyDescent="0.2">
      <c r="B91" s="5" t="s">
        <v>32</v>
      </c>
      <c r="C91" s="5">
        <v>1</v>
      </c>
      <c r="D91" s="5">
        <f t="shared" si="4"/>
        <v>0.2</v>
      </c>
      <c r="F91" s="5">
        <v>1003</v>
      </c>
      <c r="G91" s="5" t="s">
        <v>9</v>
      </c>
    </row>
    <row r="92" spans="2:7" x14ac:dyDescent="0.2">
      <c r="F92" s="5">
        <v>1004</v>
      </c>
      <c r="G92" s="5" t="s">
        <v>10</v>
      </c>
    </row>
    <row r="93" spans="2:7" x14ac:dyDescent="0.2">
      <c r="F93" s="5">
        <v>1005</v>
      </c>
      <c r="G93" s="5" t="s">
        <v>11</v>
      </c>
    </row>
    <row r="94" spans="2:7" x14ac:dyDescent="0.2">
      <c r="B94" s="8" t="s">
        <v>33</v>
      </c>
      <c r="C94" s="8"/>
    </row>
    <row r="95" spans="2:7" x14ac:dyDescent="0.2">
      <c r="B95" s="4" t="s">
        <v>6</v>
      </c>
      <c r="C95" s="4" t="s">
        <v>13</v>
      </c>
      <c r="D95" s="4" t="s">
        <v>19</v>
      </c>
    </row>
    <row r="96" spans="2:7" x14ac:dyDescent="0.2">
      <c r="B96" s="6" t="s">
        <v>29</v>
      </c>
      <c r="C96" s="6">
        <v>1</v>
      </c>
      <c r="D96" s="6">
        <f>C96/5</f>
        <v>0.2</v>
      </c>
    </row>
    <row r="97" spans="2:6" x14ac:dyDescent="0.2">
      <c r="B97" s="6" t="s">
        <v>30</v>
      </c>
      <c r="C97" s="6">
        <v>1</v>
      </c>
      <c r="D97" s="6">
        <f t="shared" ref="D97:D99" si="5">C97/5</f>
        <v>0.2</v>
      </c>
    </row>
    <row r="98" spans="2:6" x14ac:dyDescent="0.2">
      <c r="B98" s="5" t="s">
        <v>31</v>
      </c>
      <c r="C98" s="5">
        <v>2</v>
      </c>
      <c r="D98" s="5">
        <f t="shared" si="5"/>
        <v>0.4</v>
      </c>
    </row>
    <row r="99" spans="2:6" x14ac:dyDescent="0.2">
      <c r="B99" s="6" t="s">
        <v>32</v>
      </c>
      <c r="C99" s="6">
        <v>1</v>
      </c>
      <c r="D99" s="6">
        <f t="shared" si="5"/>
        <v>0.2</v>
      </c>
    </row>
    <row r="102" spans="2:6" x14ac:dyDescent="0.2">
      <c r="B102" s="4" t="s">
        <v>6</v>
      </c>
      <c r="C102" s="4" t="s">
        <v>13</v>
      </c>
    </row>
    <row r="103" spans="2:6" x14ac:dyDescent="0.2">
      <c r="B103" s="5" t="s">
        <v>31</v>
      </c>
      <c r="C103" s="5">
        <v>2</v>
      </c>
    </row>
    <row r="106" spans="2:6" x14ac:dyDescent="0.2">
      <c r="B106" s="8" t="s">
        <v>34</v>
      </c>
      <c r="C106" s="8"/>
    </row>
    <row r="107" spans="2:6" x14ac:dyDescent="0.2">
      <c r="B107" s="4" t="s">
        <v>6</v>
      </c>
      <c r="C107" s="4" t="s">
        <v>13</v>
      </c>
      <c r="D107" s="4" t="s">
        <v>19</v>
      </c>
      <c r="E107" s="4" t="s">
        <v>35</v>
      </c>
      <c r="F107" s="4" t="s">
        <v>36</v>
      </c>
    </row>
    <row r="108" spans="2:6" x14ac:dyDescent="0.2">
      <c r="B108" s="5" t="s">
        <v>14</v>
      </c>
      <c r="C108" s="5">
        <v>2</v>
      </c>
      <c r="D108" s="5">
        <f>C108/5</f>
        <v>0.4</v>
      </c>
      <c r="E108" s="5">
        <f>C108/C108</f>
        <v>1</v>
      </c>
      <c r="F108" s="5">
        <f>D108/D108</f>
        <v>1</v>
      </c>
    </row>
    <row r="109" spans="2:6" x14ac:dyDescent="0.2">
      <c r="B109" s="5" t="s">
        <v>15</v>
      </c>
      <c r="C109" s="5">
        <v>3</v>
      </c>
      <c r="D109" s="5">
        <f t="shared" ref="D109:D116" si="6">C109/5</f>
        <v>0.6</v>
      </c>
      <c r="E109" s="5">
        <f t="shared" ref="E109:E111" si="7">C109/C109</f>
        <v>1</v>
      </c>
      <c r="F109" s="5">
        <f t="shared" ref="F109:F111" si="8">D109/D109</f>
        <v>1</v>
      </c>
    </row>
    <row r="110" spans="2:6" x14ac:dyDescent="0.2">
      <c r="B110" s="5" t="s">
        <v>16</v>
      </c>
      <c r="C110" s="5">
        <v>3</v>
      </c>
      <c r="D110" s="5">
        <f t="shared" si="6"/>
        <v>0.6</v>
      </c>
      <c r="E110" s="5">
        <f t="shared" si="7"/>
        <v>1</v>
      </c>
      <c r="F110" s="5">
        <f t="shared" si="8"/>
        <v>1</v>
      </c>
    </row>
    <row r="111" spans="2:6" x14ac:dyDescent="0.2">
      <c r="B111" s="5" t="s">
        <v>17</v>
      </c>
      <c r="C111" s="5">
        <v>3</v>
      </c>
      <c r="D111" s="5">
        <f t="shared" si="6"/>
        <v>0.6</v>
      </c>
      <c r="E111" s="5">
        <f t="shared" si="7"/>
        <v>1</v>
      </c>
      <c r="F111" s="5">
        <f t="shared" si="8"/>
        <v>1</v>
      </c>
    </row>
    <row r="112" spans="2:6" x14ac:dyDescent="0.2">
      <c r="B112" s="5" t="s">
        <v>23</v>
      </c>
      <c r="C112" s="5">
        <v>2</v>
      </c>
      <c r="D112" s="5">
        <f t="shared" si="6"/>
        <v>0.4</v>
      </c>
      <c r="E112" s="5">
        <f>C112/C108</f>
        <v>1</v>
      </c>
      <c r="F112" s="9">
        <f>D112/(D108*D110)</f>
        <v>1.6666666666666667</v>
      </c>
    </row>
    <row r="113" spans="2:6" x14ac:dyDescent="0.2">
      <c r="B113" s="5" t="s">
        <v>25</v>
      </c>
      <c r="C113" s="5">
        <v>2</v>
      </c>
      <c r="D113" s="5">
        <f t="shared" si="6"/>
        <v>0.4</v>
      </c>
      <c r="E113" s="9">
        <f>C113/C109</f>
        <v>0.66666666666666663</v>
      </c>
      <c r="F113" s="9">
        <f>D113/(D109*D110)</f>
        <v>1.1111111111111112</v>
      </c>
    </row>
    <row r="114" spans="2:6" x14ac:dyDescent="0.2">
      <c r="B114" s="7" t="s">
        <v>10</v>
      </c>
      <c r="C114" s="7">
        <v>3</v>
      </c>
      <c r="D114" s="7">
        <f t="shared" si="6"/>
        <v>0.6</v>
      </c>
      <c r="E114" s="7">
        <f>C114/C109</f>
        <v>1</v>
      </c>
      <c r="F114" s="10">
        <f>D114/(D109*D111)</f>
        <v>1.6666666666666667</v>
      </c>
    </row>
    <row r="115" spans="2:6" x14ac:dyDescent="0.2">
      <c r="B115" s="7" t="s">
        <v>26</v>
      </c>
      <c r="C115" s="7">
        <v>2</v>
      </c>
      <c r="D115" s="7">
        <f t="shared" si="6"/>
        <v>0.4</v>
      </c>
      <c r="E115" s="9">
        <f>C115/C110</f>
        <v>0.66666666666666663</v>
      </c>
      <c r="F115" s="10">
        <f>D115/(D110*D111)</f>
        <v>1.1111111111111112</v>
      </c>
    </row>
    <row r="116" spans="2:6" x14ac:dyDescent="0.2">
      <c r="B116" s="5" t="s">
        <v>31</v>
      </c>
      <c r="C116" s="5">
        <v>2</v>
      </c>
      <c r="D116" s="5">
        <f t="shared" si="6"/>
        <v>0.4</v>
      </c>
      <c r="E116" s="9">
        <f>C116/C110</f>
        <v>0.66666666666666663</v>
      </c>
      <c r="F116" s="9">
        <f>D116/(D110*D109*D111)</f>
        <v>1.8518518518518521</v>
      </c>
    </row>
    <row r="119" spans="2:6" x14ac:dyDescent="0.2">
      <c r="B119" s="12" t="s">
        <v>37</v>
      </c>
    </row>
    <row r="120" spans="2:6" x14ac:dyDescent="0.2">
      <c r="B120" s="11" t="s">
        <v>38</v>
      </c>
      <c r="C120" s="11"/>
    </row>
    <row r="121" spans="2:6" x14ac:dyDescent="0.2">
      <c r="B121" s="11" t="s">
        <v>39</v>
      </c>
      <c r="C121" s="11"/>
    </row>
    <row r="122" spans="2:6" x14ac:dyDescent="0.2">
      <c r="B122" s="11" t="s">
        <v>40</v>
      </c>
      <c r="C122" s="11"/>
    </row>
    <row r="124" spans="2:6" x14ac:dyDescent="0.2">
      <c r="B124" s="12" t="s">
        <v>41</v>
      </c>
    </row>
    <row r="125" spans="2:6" x14ac:dyDescent="0.2">
      <c r="B125" s="11" t="s">
        <v>42</v>
      </c>
      <c r="C125" s="11"/>
      <c r="D125" s="11"/>
    </row>
    <row r="126" spans="2:6" x14ac:dyDescent="0.2">
      <c r="B126" s="11" t="s">
        <v>43</v>
      </c>
      <c r="C126" s="11"/>
      <c r="D126" s="11"/>
    </row>
    <row r="127" spans="2:6" x14ac:dyDescent="0.2">
      <c r="B127" s="11" t="s">
        <v>44</v>
      </c>
      <c r="C127" s="11"/>
      <c r="D127" s="11"/>
    </row>
  </sheetData>
  <mergeCells count="18">
    <mergeCell ref="B127:D127"/>
    <mergeCell ref="B120:C120"/>
    <mergeCell ref="B121:C121"/>
    <mergeCell ref="B122:C122"/>
    <mergeCell ref="B125:D125"/>
    <mergeCell ref="B126:D126"/>
    <mergeCell ref="B79:C79"/>
    <mergeCell ref="C46:D46"/>
    <mergeCell ref="B62:C62"/>
    <mergeCell ref="F87:G87"/>
    <mergeCell ref="B106:C106"/>
    <mergeCell ref="B94:C94"/>
    <mergeCell ref="B2:C2"/>
    <mergeCell ref="B7:C7"/>
    <mergeCell ref="B16:C16"/>
    <mergeCell ref="B26:C26"/>
    <mergeCell ref="B43:C43"/>
    <mergeCell ref="F53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Atakan Acıbal</dc:creator>
  <cp:lastModifiedBy>Atakan Acıbal</cp:lastModifiedBy>
  <dcterms:created xsi:type="dcterms:W3CDTF">2025-04-03T17:05:47Z</dcterms:created>
  <dcterms:modified xsi:type="dcterms:W3CDTF">2025-04-03T17:58:12Z</dcterms:modified>
</cp:coreProperties>
</file>